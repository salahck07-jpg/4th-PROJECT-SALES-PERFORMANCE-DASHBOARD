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pivotCache/pivotCacheDefinition9.xml" ContentType="application/vnd.openxmlformats-officedocument.spreadsheetml.pivotCacheDefinition+xml"/>
  <Override PartName="/xl/timelineCaches/timelineCache1.xml" ContentType="application/vnd.ms-excel.timeline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drawings/drawing2.xml" ContentType="application/vnd.openxmlformats-officedocument.drawing+xml"/>
  <Override PartName="/xl/slicers/slicer2.xml" ContentType="application/vnd.ms-excel.slicer+xml"/>
  <Override PartName="/xl/timelines/timeline2.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30326"/>
  <workbookPr hidePivotFieldList="1" defaultThemeVersion="124226"/>
  <mc:AlternateContent xmlns:mc="http://schemas.openxmlformats.org/markup-compatibility/2006">
    <mc:Choice Requires="x15">
      <x15ac:absPath xmlns:x15ac="http://schemas.microsoft.com/office/spreadsheetml/2010/11/ac" url="C:\Users\USER\Downloads\"/>
    </mc:Choice>
  </mc:AlternateContent>
  <xr:revisionPtr revIDLastSave="0" documentId="13_ncr:1_{8401CDEE-C64D-417E-A4A4-F3E7795649A9}" xr6:coauthVersionLast="47" xr6:coauthVersionMax="47" xr10:uidLastSave="{00000000-0000-0000-0000-000000000000}"/>
  <bookViews>
    <workbookView xWindow="-120" yWindow="-120" windowWidth="24240" windowHeight="13140" activeTab="2" xr2:uid="{00000000-000D-0000-FFFF-FFFF00000000}"/>
  </bookViews>
  <sheets>
    <sheet name="PIVOT" sheetId="2" r:id="rId1"/>
    <sheet name="CHARTS" sheetId="3" r:id="rId2"/>
    <sheet name="DASHBOARD" sheetId="4" r:id="rId3"/>
    <sheet name="Clean_Data" sheetId="1" r:id="rId4"/>
  </sheets>
  <definedNames>
    <definedName name="_xlcn.WorksheetConnection_Clean_DataA1P811" hidden="1">Clean_Data!$A$1:$P$81</definedName>
    <definedName name="Slicer_Category">#N/A</definedName>
    <definedName name="Slicer_Payment_Mode">#N/A</definedName>
    <definedName name="Slicer_Product">#N/A</definedName>
    <definedName name="Slicer_Region">#N/A</definedName>
    <definedName name="Timeline_Order_Date">#N/A</definedName>
  </definedNames>
  <calcPr calcId="191029"/>
  <pivotCaches>
    <pivotCache cacheId="32" r:id="rId5"/>
    <pivotCache cacheId="35" r:id="rId6"/>
    <pivotCache cacheId="38" r:id="rId7"/>
    <pivotCache cacheId="41" r:id="rId8"/>
    <pivotCache cacheId="44" r:id="rId9"/>
    <pivotCache cacheId="47" r:id="rId10"/>
    <pivotCache cacheId="50" r:id="rId11"/>
  </pivotCaches>
  <extLst>
    <ext xmlns:x14="http://schemas.microsoft.com/office/spreadsheetml/2009/9/main" uri="{876F7934-8845-4945-9796-88D515C7AA90}">
      <x14:pivotCaches>
        <pivotCache cacheId="7" r:id="rId12"/>
      </x14:pivotCaches>
    </ext>
    <ext xmlns:x14="http://schemas.microsoft.com/office/spreadsheetml/2009/9/main" uri="{BBE1A952-AA13-448e-AADC-164F8A28A991}">
      <x14:slicerCaches>
        <x14:slicerCache r:id="rId13"/>
        <x14:slicerCache r:id="rId14"/>
        <x14:slicerCache r:id="rId15"/>
        <x14:slicerCache r:id="rId16"/>
      </x14:slicerCaches>
    </ext>
    <ext xmlns:x14="http://schemas.microsoft.com/office/spreadsheetml/2009/9/main" uri="{79F54976-1DA5-4618-B147-4CDE4B953A38}">
      <x14:workbookPr/>
    </ext>
    <ext xmlns:x15="http://schemas.microsoft.com/office/spreadsheetml/2010/11/main" uri="{A2CB5862-8E78-49c6-8D9D-AF26E26ADB89}">
      <x15:timelineCachePivotCaches>
        <pivotCache cacheId="8" r:id="rId17"/>
      </x15:timelineCachePivotCaches>
    </ext>
    <ext xmlns:x15="http://schemas.microsoft.com/office/spreadsheetml/2010/11/main" uri="{D0CA8CA8-9F24-4464-BF8E-62219DCF47F9}">
      <x15:timelineCacheRefs>
        <x15:timelineCacheRef r:id="rId18"/>
      </x15:timelineCacheRefs>
    </ext>
    <ext xmlns:x15="http://schemas.microsoft.com/office/spreadsheetml/2010/11/main" uri="{FCE2AD5D-F65C-4FA6-A056-5C36A1767C68}">
      <x15:dataModel>
        <x15:modelTables>
          <x15:modelTable id="Range" name="Range" connection="WorksheetConnection_Clean_Data!$A$1:$P$81"/>
        </x15:modelTable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7" i="2" l="1"/>
  <c r="P4" i="1"/>
  <c r="H68" i="1"/>
  <c r="P13" i="1"/>
  <c r="P14" i="1"/>
  <c r="P15" i="1"/>
  <c r="P16" i="1"/>
  <c r="P17" i="1"/>
  <c r="P18" i="1"/>
  <c r="P19" i="1"/>
  <c r="P20" i="1"/>
  <c r="P21" i="1"/>
  <c r="P22" i="1"/>
  <c r="P23" i="1"/>
  <c r="P24" i="1"/>
  <c r="P25" i="1"/>
  <c r="P26" i="1"/>
  <c r="P27" i="1"/>
  <c r="P28" i="1"/>
  <c r="P29" i="1"/>
  <c r="P30" i="1"/>
  <c r="P31" i="1"/>
  <c r="P32" i="1"/>
  <c r="P33" i="1"/>
  <c r="P34" i="1"/>
  <c r="P35" i="1"/>
  <c r="P36" i="1"/>
  <c r="P37" i="1"/>
  <c r="P38" i="1"/>
  <c r="P39" i="1"/>
  <c r="P40" i="1"/>
  <c r="P41" i="1"/>
  <c r="P42" i="1"/>
  <c r="P43" i="1"/>
  <c r="P44" i="1"/>
  <c r="P45" i="1"/>
  <c r="P46" i="1"/>
  <c r="P47" i="1"/>
  <c r="P48" i="1"/>
  <c r="P49" i="1"/>
  <c r="P50" i="1"/>
  <c r="P51" i="1"/>
  <c r="P52" i="1"/>
  <c r="P53" i="1"/>
  <c r="P54" i="1"/>
  <c r="P55" i="1"/>
  <c r="P56" i="1"/>
  <c r="P57" i="1"/>
  <c r="P58" i="1"/>
  <c r="P59" i="1"/>
  <c r="P60" i="1"/>
  <c r="P61" i="1"/>
  <c r="P62" i="1"/>
  <c r="P63" i="1"/>
  <c r="P64" i="1"/>
  <c r="P65" i="1"/>
  <c r="P66" i="1"/>
  <c r="P67" i="1"/>
  <c r="P68" i="1"/>
  <c r="P69" i="1"/>
  <c r="P70" i="1"/>
  <c r="P71" i="1"/>
  <c r="P72" i="1"/>
  <c r="P73" i="1"/>
  <c r="P74" i="1"/>
  <c r="P75" i="1"/>
  <c r="P76" i="1"/>
  <c r="P77" i="1"/>
  <c r="P78" i="1"/>
  <c r="P79" i="1"/>
  <c r="P80" i="1"/>
  <c r="P81" i="1"/>
  <c r="P11" i="1"/>
  <c r="P12" i="1"/>
  <c r="P10" i="1"/>
  <c r="P3" i="1"/>
  <c r="P5" i="1"/>
  <c r="P6" i="1"/>
  <c r="P7" i="1"/>
  <c r="P8" i="1"/>
  <c r="P9" i="1"/>
  <c r="P2" i="1"/>
  <c r="O3" i="1"/>
  <c r="O4" i="1"/>
  <c r="O5" i="1"/>
  <c r="O6" i="1"/>
  <c r="O7" i="1"/>
  <c r="O8" i="1"/>
  <c r="O9" i="1"/>
  <c r="O10" i="1"/>
  <c r="O11" i="1"/>
  <c r="O12" i="1"/>
  <c r="O13" i="1"/>
  <c r="O14" i="1"/>
  <c r="O15" i="1"/>
  <c r="O16" i="1"/>
  <c r="O17" i="1"/>
  <c r="O18" i="1"/>
  <c r="O19" i="1"/>
  <c r="O20" i="1"/>
  <c r="O21" i="1"/>
  <c r="O22" i="1"/>
  <c r="O23" i="1"/>
  <c r="O24" i="1"/>
  <c r="O25" i="1"/>
  <c r="O26" i="1"/>
  <c r="O27" i="1"/>
  <c r="O28" i="1"/>
  <c r="O29" i="1"/>
  <c r="O30" i="1"/>
  <c r="O31" i="1"/>
  <c r="O32" i="1"/>
  <c r="O33" i="1"/>
  <c r="O34" i="1"/>
  <c r="O35" i="1"/>
  <c r="O36" i="1"/>
  <c r="O37" i="1"/>
  <c r="O38" i="1"/>
  <c r="O39" i="1"/>
  <c r="O40" i="1"/>
  <c r="O41" i="1"/>
  <c r="O42" i="1"/>
  <c r="O43" i="1"/>
  <c r="O44" i="1"/>
  <c r="O45" i="1"/>
  <c r="O46" i="1"/>
  <c r="O47" i="1"/>
  <c r="O48" i="1"/>
  <c r="O49" i="1"/>
  <c r="O50" i="1"/>
  <c r="O51" i="1"/>
  <c r="O52" i="1"/>
  <c r="O53" i="1"/>
  <c r="O54" i="1"/>
  <c r="O55" i="1"/>
  <c r="O56" i="1"/>
  <c r="O57" i="1"/>
  <c r="O58" i="1"/>
  <c r="O59" i="1"/>
  <c r="O60" i="1"/>
  <c r="O61" i="1"/>
  <c r="O62" i="1"/>
  <c r="O63" i="1"/>
  <c r="O64" i="1"/>
  <c r="O65" i="1"/>
  <c r="O66" i="1"/>
  <c r="O67" i="1"/>
  <c r="O68" i="1"/>
  <c r="O69" i="1"/>
  <c r="O70" i="1"/>
  <c r="O71" i="1"/>
  <c r="O72" i="1"/>
  <c r="O73" i="1"/>
  <c r="O74" i="1"/>
  <c r="O75" i="1"/>
  <c r="O76" i="1"/>
  <c r="O77" i="1"/>
  <c r="O78" i="1"/>
  <c r="O79" i="1"/>
  <c r="O80" i="1"/>
  <c r="O81" i="1"/>
  <c r="O2" i="1"/>
  <c r="N3" i="1"/>
  <c r="N4" i="1"/>
  <c r="N5" i="1"/>
  <c r="N6" i="1"/>
  <c r="N7" i="1"/>
  <c r="N8" i="1"/>
  <c r="N9" i="1"/>
  <c r="N10" i="1"/>
  <c r="N11" i="1"/>
  <c r="N12" i="1"/>
  <c r="N13" i="1"/>
  <c r="N14" i="1"/>
  <c r="N15" i="1"/>
  <c r="N16" i="1"/>
  <c r="N17" i="1"/>
  <c r="N18" i="1"/>
  <c r="N19" i="1"/>
  <c r="N20" i="1"/>
  <c r="N21" i="1"/>
  <c r="N22" i="1"/>
  <c r="N23" i="1"/>
  <c r="N24" i="1"/>
  <c r="N25" i="1"/>
  <c r="N26" i="1"/>
  <c r="N27" i="1"/>
  <c r="N28" i="1"/>
  <c r="N29" i="1"/>
  <c r="N30" i="1"/>
  <c r="N31" i="1"/>
  <c r="N32" i="1"/>
  <c r="N33" i="1"/>
  <c r="N34" i="1"/>
  <c r="N35" i="1"/>
  <c r="N36" i="1"/>
  <c r="N37" i="1"/>
  <c r="N38" i="1"/>
  <c r="N39" i="1"/>
  <c r="N40" i="1"/>
  <c r="N41" i="1"/>
  <c r="N42" i="1"/>
  <c r="N43" i="1"/>
  <c r="N44" i="1"/>
  <c r="N45" i="1"/>
  <c r="N46" i="1"/>
  <c r="N47" i="1"/>
  <c r="N48" i="1"/>
  <c r="N49" i="1"/>
  <c r="N50" i="1"/>
  <c r="N51" i="1"/>
  <c r="N52" i="1"/>
  <c r="N53" i="1"/>
  <c r="N54" i="1"/>
  <c r="N55" i="1"/>
  <c r="N56" i="1"/>
  <c r="N57" i="1"/>
  <c r="N58" i="1"/>
  <c r="N59" i="1"/>
  <c r="N60" i="1"/>
  <c r="N61" i="1"/>
  <c r="N62" i="1"/>
  <c r="N63" i="1"/>
  <c r="N64" i="1"/>
  <c r="N65" i="1"/>
  <c r="N66" i="1"/>
  <c r="N67" i="1"/>
  <c r="N68" i="1"/>
  <c r="N69" i="1"/>
  <c r="N70" i="1"/>
  <c r="N71" i="1"/>
  <c r="N72" i="1"/>
  <c r="N73" i="1"/>
  <c r="N74" i="1"/>
  <c r="N75" i="1"/>
  <c r="N76" i="1"/>
  <c r="N77" i="1"/>
  <c r="N78" i="1"/>
  <c r="N79" i="1"/>
  <c r="N80" i="1"/>
  <c r="N81" i="1"/>
  <c r="N2" i="1"/>
  <c r="A7" i="2"/>
  <c r="C7" i="2"/>
  <c r="E7" i="2"/>
  <c r="B7" i="2"/>
  <c r="D7" i="2"/>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3E2BA749-C22D-4A6B-9505-BAFC44DFF083}"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2" xr16:uid="{387E4C50-D8A0-4640-9A70-CAC7F653D167}" name="WorksheetConnection_Clean_Data!$A$1:$P$81" type="102" refreshedVersion="8" minRefreshableVersion="5">
    <extLst>
      <ext xmlns:x15="http://schemas.microsoft.com/office/spreadsheetml/2010/11/main" uri="{DE250136-89BD-433C-8126-D09CA5730AF9}">
        <x15:connection id="Range" autoDelete="1">
          <x15:rangePr sourceName="_xlcn.WorksheetConnection_Clean_DataA1P811"/>
        </x15:connection>
      </ext>
    </extLst>
  </connection>
</connections>
</file>

<file path=xl/sharedStrings.xml><?xml version="1.0" encoding="utf-8"?>
<sst xmlns="http://schemas.openxmlformats.org/spreadsheetml/2006/main" count="556" uniqueCount="214">
  <si>
    <t>Order_ID</t>
  </si>
  <si>
    <t>Order_Date</t>
  </si>
  <si>
    <t>Customer</t>
  </si>
  <si>
    <t>Product</t>
  </si>
  <si>
    <t>Category</t>
  </si>
  <si>
    <t>Region</t>
  </si>
  <si>
    <t>Quantity</t>
  </si>
  <si>
    <t>Unit_Price</t>
  </si>
  <si>
    <t>Discount_%</t>
  </si>
  <si>
    <t>Payment_Mode</t>
  </si>
  <si>
    <t>Sales</t>
  </si>
  <si>
    <t>Cost</t>
  </si>
  <si>
    <t>Profit</t>
  </si>
  <si>
    <t>ORD10001</t>
  </si>
  <si>
    <t>ORD10002</t>
  </si>
  <si>
    <t>ORD10003</t>
  </si>
  <si>
    <t>ORD10004</t>
  </si>
  <si>
    <t>ORD10005</t>
  </si>
  <si>
    <t>ORD10006</t>
  </si>
  <si>
    <t>ORD10007</t>
  </si>
  <si>
    <t>ORD10008</t>
  </si>
  <si>
    <t>ORD10009</t>
  </si>
  <si>
    <t>ORD10010</t>
  </si>
  <si>
    <t>ORD10011</t>
  </si>
  <si>
    <t>ORD10012</t>
  </si>
  <si>
    <t>ORD10013</t>
  </si>
  <si>
    <t>ORD10014</t>
  </si>
  <si>
    <t>ORD10015</t>
  </si>
  <si>
    <t>ORD10016</t>
  </si>
  <si>
    <t>ORD10017</t>
  </si>
  <si>
    <t>ORD10018</t>
  </si>
  <si>
    <t>ORD10019</t>
  </si>
  <si>
    <t>ORD10020</t>
  </si>
  <si>
    <t>ORD10021</t>
  </si>
  <si>
    <t>ORD10022</t>
  </si>
  <si>
    <t>ORD10023</t>
  </si>
  <si>
    <t>ORD10024</t>
  </si>
  <si>
    <t>ORD10025</t>
  </si>
  <si>
    <t>ORD10026</t>
  </si>
  <si>
    <t>ORD10027</t>
  </si>
  <si>
    <t>ORD10028</t>
  </si>
  <si>
    <t>ORD10029</t>
  </si>
  <si>
    <t>ORD10030</t>
  </si>
  <si>
    <t>ORD10031</t>
  </si>
  <si>
    <t>ORD10032</t>
  </si>
  <si>
    <t>ORD10033</t>
  </si>
  <si>
    <t>ORD10034</t>
  </si>
  <si>
    <t>ORD10035</t>
  </si>
  <si>
    <t>ORD10036</t>
  </si>
  <si>
    <t>ORD10037</t>
  </si>
  <si>
    <t>ORD10038</t>
  </si>
  <si>
    <t>ORD10039</t>
  </si>
  <si>
    <t>ORD10040</t>
  </si>
  <si>
    <t>ORD10041</t>
  </si>
  <si>
    <t>ORD10042</t>
  </si>
  <si>
    <t>ORD10043</t>
  </si>
  <si>
    <t>ORD10044</t>
  </si>
  <si>
    <t>ORD10045</t>
  </si>
  <si>
    <t>ORD10046</t>
  </si>
  <si>
    <t>ORD10047</t>
  </si>
  <si>
    <t>ORD10048</t>
  </si>
  <si>
    <t>ORD10049</t>
  </si>
  <si>
    <t>ORD10050</t>
  </si>
  <si>
    <t>ORD10051</t>
  </si>
  <si>
    <t>ORD10052</t>
  </si>
  <si>
    <t>ORD10053</t>
  </si>
  <si>
    <t>ORD10054</t>
  </si>
  <si>
    <t>ORD10055</t>
  </si>
  <si>
    <t>ORD10056</t>
  </si>
  <si>
    <t>ORD10057</t>
  </si>
  <si>
    <t>ORD10058</t>
  </si>
  <si>
    <t>ORD10059</t>
  </si>
  <si>
    <t>ORD10060</t>
  </si>
  <si>
    <t>ORD10061</t>
  </si>
  <si>
    <t>ORD10062</t>
  </si>
  <si>
    <t>ORD10063</t>
  </si>
  <si>
    <t>ORD10064</t>
  </si>
  <si>
    <t>ORD10065</t>
  </si>
  <si>
    <t>ORD10066</t>
  </si>
  <si>
    <t>ORD10067</t>
  </si>
  <si>
    <t>ORD10068</t>
  </si>
  <si>
    <t>ORD10069</t>
  </si>
  <si>
    <t>ORD10070</t>
  </si>
  <si>
    <t>ORD10071</t>
  </si>
  <si>
    <t>ORD10072</t>
  </si>
  <si>
    <t>ORD10073</t>
  </si>
  <si>
    <t>ORD10074</t>
  </si>
  <si>
    <t>ORD10075</t>
  </si>
  <si>
    <t>ORD10076</t>
  </si>
  <si>
    <t>ORD10077</t>
  </si>
  <si>
    <t>ORD10078</t>
  </si>
  <si>
    <t>ORD10079</t>
  </si>
  <si>
    <t>ORD10080</t>
  </si>
  <si>
    <t>C1001</t>
  </si>
  <si>
    <t>C1002</t>
  </si>
  <si>
    <t>C1003</t>
  </si>
  <si>
    <t>C1004</t>
  </si>
  <si>
    <t>C1005</t>
  </si>
  <si>
    <t>C1006</t>
  </si>
  <si>
    <t>C1007</t>
  </si>
  <si>
    <t>C1008</t>
  </si>
  <si>
    <t>C1009</t>
  </si>
  <si>
    <t>C1010</t>
  </si>
  <si>
    <t>C1011</t>
  </si>
  <si>
    <t>C1012</t>
  </si>
  <si>
    <t>C1013</t>
  </si>
  <si>
    <t>C1014</t>
  </si>
  <si>
    <t>C1015</t>
  </si>
  <si>
    <t>C1017</t>
  </si>
  <si>
    <t>C1018</t>
  </si>
  <si>
    <t>C1019</t>
  </si>
  <si>
    <t>C1020</t>
  </si>
  <si>
    <t>C1021</t>
  </si>
  <si>
    <t>C1022</t>
  </si>
  <si>
    <t>C1023</t>
  </si>
  <si>
    <t>C1024</t>
  </si>
  <si>
    <t>C1025</t>
  </si>
  <si>
    <t>C1026</t>
  </si>
  <si>
    <t>C1027</t>
  </si>
  <si>
    <t>C1028</t>
  </si>
  <si>
    <t>C1029</t>
  </si>
  <si>
    <t>C1030</t>
  </si>
  <si>
    <t>C1031</t>
  </si>
  <si>
    <t>C1032</t>
  </si>
  <si>
    <t>C1033</t>
  </si>
  <si>
    <t>C1034</t>
  </si>
  <si>
    <t>C1035</t>
  </si>
  <si>
    <t>C1036</t>
  </si>
  <si>
    <t>C1037</t>
  </si>
  <si>
    <t>C1038</t>
  </si>
  <si>
    <t>C1039</t>
  </si>
  <si>
    <t>C1040</t>
  </si>
  <si>
    <t>C1041</t>
  </si>
  <si>
    <t>C1042</t>
  </si>
  <si>
    <t>C1043</t>
  </si>
  <si>
    <t>C1044</t>
  </si>
  <si>
    <t>C1045</t>
  </si>
  <si>
    <t>C1046</t>
  </si>
  <si>
    <t>C1047</t>
  </si>
  <si>
    <t>C1048</t>
  </si>
  <si>
    <t>C1049</t>
  </si>
  <si>
    <t>C1050</t>
  </si>
  <si>
    <t>C1051</t>
  </si>
  <si>
    <t>C1052</t>
  </si>
  <si>
    <t>C1053</t>
  </si>
  <si>
    <t>C1054</t>
  </si>
  <si>
    <t>C1055</t>
  </si>
  <si>
    <t>C1056</t>
  </si>
  <si>
    <t>C1057</t>
  </si>
  <si>
    <t>C1058</t>
  </si>
  <si>
    <t>C1059</t>
  </si>
  <si>
    <t>C1060</t>
  </si>
  <si>
    <t>C1061</t>
  </si>
  <si>
    <t>C1062</t>
  </si>
  <si>
    <t>C1063</t>
  </si>
  <si>
    <t>C1064</t>
  </si>
  <si>
    <t>C1065</t>
  </si>
  <si>
    <t>C1066</t>
  </si>
  <si>
    <t>C1067</t>
  </si>
  <si>
    <t>C1068</t>
  </si>
  <si>
    <t>C1069</t>
  </si>
  <si>
    <t>C1070</t>
  </si>
  <si>
    <t>C1072</t>
  </si>
  <si>
    <t>C1073</t>
  </si>
  <si>
    <t>C1074</t>
  </si>
  <si>
    <t>C1075</t>
  </si>
  <si>
    <t>C1076</t>
  </si>
  <si>
    <t>C1077</t>
  </si>
  <si>
    <t>C1078</t>
  </si>
  <si>
    <t>C1079</t>
  </si>
  <si>
    <t>C1080</t>
  </si>
  <si>
    <t>Monitor</t>
  </si>
  <si>
    <t>Headset</t>
  </si>
  <si>
    <t>Keyboard</t>
  </si>
  <si>
    <t>Mouse</t>
  </si>
  <si>
    <t>Laptop</t>
  </si>
  <si>
    <t xml:space="preserve">Mouse </t>
  </si>
  <si>
    <t>Electronics</t>
  </si>
  <si>
    <t>Accessories</t>
  </si>
  <si>
    <t>North</t>
  </si>
  <si>
    <t>East</t>
  </si>
  <si>
    <t>West</t>
  </si>
  <si>
    <t>South</t>
  </si>
  <si>
    <t>Cash</t>
  </si>
  <si>
    <t>UPI</t>
  </si>
  <si>
    <t>Net Banking</t>
  </si>
  <si>
    <t>Card</t>
  </si>
  <si>
    <t xml:space="preserve">Card </t>
  </si>
  <si>
    <t>C1016</t>
  </si>
  <si>
    <t xml:space="preserve"> </t>
  </si>
  <si>
    <t>Month</t>
  </si>
  <si>
    <t>Month_No</t>
  </si>
  <si>
    <t>Profit_Margin_%</t>
  </si>
  <si>
    <t>Unknown</t>
  </si>
  <si>
    <t>Sum of Sales</t>
  </si>
  <si>
    <t>Sum of Cost</t>
  </si>
  <si>
    <t>Sum of Profit</t>
  </si>
  <si>
    <t>Count of Order_ID</t>
  </si>
  <si>
    <t>Total Sales</t>
  </si>
  <si>
    <t>Total Cost</t>
  </si>
  <si>
    <t>Total Profit</t>
  </si>
  <si>
    <t>Total Orders</t>
  </si>
  <si>
    <t>Row Labels</t>
  </si>
  <si>
    <t>Apr</t>
  </si>
  <si>
    <t>Feb</t>
  </si>
  <si>
    <t>Jan</t>
  </si>
  <si>
    <t>Jun</t>
  </si>
  <si>
    <t>Mar</t>
  </si>
  <si>
    <t>May</t>
  </si>
  <si>
    <t>Grand Total</t>
  </si>
  <si>
    <t>Sum of Sales2</t>
  </si>
  <si>
    <t>Distinct Count of Customer</t>
  </si>
  <si>
    <t>Total Customers</t>
  </si>
  <si>
    <t>Profit Margin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</si>
</sst>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quot;₹&quot;\ #,##0"/>
  </numFmts>
  <fonts count="3" x14ac:knownFonts="1">
    <font>
      <sz val="11"/>
      <color theme="1"/>
      <name val="Calibri"/>
      <family val="2"/>
      <scheme val="minor"/>
    </font>
    <font>
      <b/>
      <sz val="11"/>
      <color theme="1"/>
      <name val="Calibri"/>
      <family val="2"/>
      <scheme val="minor"/>
    </font>
    <font>
      <sz val="11"/>
      <color theme="1"/>
      <name val="Calibri"/>
      <family val="2"/>
      <scheme val="minor"/>
    </font>
  </fonts>
  <fills count="2">
    <fill>
      <patternFill patternType="none"/>
    </fill>
    <fill>
      <patternFill patternType="gray125"/>
    </fill>
  </fills>
  <borders count="3">
    <border>
      <left/>
      <right/>
      <top/>
      <bottom/>
      <diagonal/>
    </border>
    <border>
      <left style="thin">
        <color auto="1"/>
      </left>
      <right style="thin">
        <color auto="1"/>
      </right>
      <top style="thin">
        <color auto="1"/>
      </top>
      <bottom style="thin">
        <color auto="1"/>
      </bottom>
      <diagonal/>
    </border>
    <border>
      <left style="thin">
        <color auto="1"/>
      </left>
      <right style="thin">
        <color auto="1"/>
      </right>
      <top/>
      <bottom/>
      <diagonal/>
    </border>
  </borders>
  <cellStyleXfs count="2">
    <xf numFmtId="0" fontId="0" fillId="0" borderId="0"/>
    <xf numFmtId="9" fontId="2" fillId="0" borderId="0" applyFont="0" applyFill="0" applyBorder="0" applyAlignment="0" applyProtection="0"/>
  </cellStyleXfs>
  <cellXfs count="13">
    <xf numFmtId="0" fontId="0" fillId="0" borderId="0" xfId="0"/>
    <xf numFmtId="0" fontId="1" fillId="0" borderId="1" xfId="0" applyFont="1" applyBorder="1" applyAlignment="1">
      <alignment horizontal="center" vertical="top"/>
    </xf>
    <xf numFmtId="0" fontId="1" fillId="0" borderId="2" xfId="0" applyFont="1" applyBorder="1" applyAlignment="1">
      <alignment horizontal="center" vertical="top"/>
    </xf>
    <xf numFmtId="14" fontId="1" fillId="0" borderId="1" xfId="0" applyNumberFormat="1" applyFont="1" applyBorder="1" applyAlignment="1">
      <alignment horizontal="center" vertical="top"/>
    </xf>
    <xf numFmtId="0" fontId="0" fillId="0" borderId="0" xfId="0" applyAlignment="1">
      <alignment horizontal="center"/>
    </xf>
    <xf numFmtId="14" fontId="0" fillId="0" borderId="0" xfId="0" applyNumberFormat="1" applyAlignment="1">
      <alignment horizontal="center"/>
    </xf>
    <xf numFmtId="9" fontId="0" fillId="0" borderId="0" xfId="1" applyFont="1" applyAlignment="1">
      <alignment horizontal="center"/>
    </xf>
    <xf numFmtId="164" fontId="0" fillId="0" borderId="0" xfId="0" applyNumberFormat="1"/>
    <xf numFmtId="0" fontId="0" fillId="0" borderId="0" xfId="0" pivotButton="1"/>
    <xf numFmtId="0" fontId="0" fillId="0" borderId="0" xfId="0" applyAlignment="1">
      <alignment horizontal="left"/>
    </xf>
    <xf numFmtId="0" fontId="0" fillId="0" borderId="0" xfId="0" applyAlignment="1">
      <alignment horizontal="left" indent="1"/>
    </xf>
    <xf numFmtId="9" fontId="0" fillId="0" borderId="0" xfId="1" applyFont="1"/>
    <xf numFmtId="0" fontId="0" fillId="0" borderId="0" xfId="0" applyNumberFormat="1"/>
  </cellXfs>
  <cellStyles count="2">
    <cellStyle name="Normal" xfId="0" builtinId="0"/>
    <cellStyle name="Percent" xfId="1" builtinId="5"/>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4.xml"/><Relationship Id="rId13" Type="http://schemas.microsoft.com/office/2007/relationships/slicerCache" Target="slicerCaches/slicerCache1.xml"/><Relationship Id="rId18" Type="http://schemas.microsoft.com/office/2011/relationships/timelineCache" Target="timelineCaches/timelineCache1.xml"/><Relationship Id="rId3" Type="http://schemas.openxmlformats.org/officeDocument/2006/relationships/worksheet" Target="worksheets/sheet3.xml"/><Relationship Id="rId21" Type="http://schemas.openxmlformats.org/officeDocument/2006/relationships/styles" Target="styles.xml"/><Relationship Id="rId7" Type="http://schemas.openxmlformats.org/officeDocument/2006/relationships/pivotCacheDefinition" Target="pivotCache/pivotCacheDefinition3.xml"/><Relationship Id="rId12" Type="http://schemas.openxmlformats.org/officeDocument/2006/relationships/pivotCacheDefinition" Target="pivotCache/pivotCacheDefinition8.xml"/><Relationship Id="rId17" Type="http://schemas.openxmlformats.org/officeDocument/2006/relationships/pivotCacheDefinition" Target="pivotCache/pivotCacheDefinition9.xml"/><Relationship Id="rId2" Type="http://schemas.openxmlformats.org/officeDocument/2006/relationships/worksheet" Target="worksheets/sheet2.xml"/><Relationship Id="rId16" Type="http://schemas.microsoft.com/office/2007/relationships/slicerCache" Target="slicerCaches/slicerCache4.xml"/><Relationship Id="rId20" Type="http://schemas.openxmlformats.org/officeDocument/2006/relationships/connections" Target="connections.xml"/><Relationship Id="rId1" Type="http://schemas.openxmlformats.org/officeDocument/2006/relationships/worksheet" Target="worksheets/sheet1.xml"/><Relationship Id="rId6" Type="http://schemas.openxmlformats.org/officeDocument/2006/relationships/pivotCacheDefinition" Target="pivotCache/pivotCacheDefinition2.xml"/><Relationship Id="rId11" Type="http://schemas.openxmlformats.org/officeDocument/2006/relationships/pivotCacheDefinition" Target="pivotCache/pivotCacheDefinition7.xml"/><Relationship Id="rId24" Type="http://schemas.openxmlformats.org/officeDocument/2006/relationships/calcChain" Target="calcChain.xml"/><Relationship Id="rId5" Type="http://schemas.openxmlformats.org/officeDocument/2006/relationships/pivotCacheDefinition" Target="pivotCache/pivotCacheDefinition1.xml"/><Relationship Id="rId15" Type="http://schemas.microsoft.com/office/2007/relationships/slicerCache" Target="slicerCaches/slicerCache3.xml"/><Relationship Id="rId23" Type="http://schemas.openxmlformats.org/officeDocument/2006/relationships/powerPivotData" Target="model/item.data"/><Relationship Id="rId10" Type="http://schemas.openxmlformats.org/officeDocument/2006/relationships/pivotCacheDefinition" Target="pivotCache/pivotCacheDefinition6.xml"/><Relationship Id="rId19"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pivotCacheDefinition" Target="pivotCache/pivotCacheDefinition5.xml"/><Relationship Id="rId14" Type="http://schemas.microsoft.com/office/2007/relationships/slicerCache" Target="slicerCaches/slicerCache2.xml"/><Relationship Id="rId22"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[Excel_Dashboard_Simple_Raw_Dataset.xlsx]PIVOT!Monthly Sales Trend</c:name>
    <c:fmtId val="11"/>
  </c:pivotSource>
  <c:chart>
    <c:title>
      <c:tx>
        <c:rich>
          <a:bodyPr rot="0" spcFirstLastPara="1" vertOverflow="ellipsis" vert="horz" wrap="square" anchor="ctr" anchorCtr="1"/>
          <a:lstStyle/>
          <a:p>
            <a:pPr>
              <a:defRPr sz="1600" b="1" i="0" u="none" strike="noStrike" kern="1200" baseline="0">
                <a:solidFill>
                  <a:schemeClr val="tx1"/>
                </a:solidFill>
                <a:latin typeface="+mn-lt"/>
                <a:ea typeface="+mn-ea"/>
                <a:cs typeface="+mn-cs"/>
              </a:defRPr>
            </a:pPr>
            <a:r>
              <a:rPr lang="en-IN">
                <a:solidFill>
                  <a:schemeClr val="tx1"/>
                </a:solidFill>
              </a:rPr>
              <a:t>MONTHLY SALES TREND</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solidFill>
              <a:latin typeface="+mn-lt"/>
              <a:ea typeface="+mn-ea"/>
              <a:cs typeface="+mn-cs"/>
            </a:defRPr>
          </a:pPr>
          <a:endParaRPr lang="en-IN"/>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dLbl>
          <c:idx val="0"/>
          <c:showLegendKey val="0"/>
          <c:showVal val="0"/>
          <c:showCatName val="0"/>
          <c:showSerName val="0"/>
          <c:showPercent val="0"/>
          <c:showBubbleSize val="0"/>
          <c:extLst>
            <c:ext xmlns:c15="http://schemas.microsoft.com/office/drawing/2012/chart" uri="{CE6537A1-D6FC-4f65-9D91-7224C49458BB}"/>
          </c:extLst>
        </c:dLbl>
      </c:pivotFmt>
      <c:pivotFmt>
        <c:idx val="6"/>
        <c:dLbl>
          <c:idx val="0"/>
          <c:showLegendKey val="0"/>
          <c:showVal val="0"/>
          <c:showCatName val="0"/>
          <c:showSerName val="0"/>
          <c:showPercent val="0"/>
          <c:showBubbleSize val="0"/>
          <c:extLst>
            <c:ext xmlns:c15="http://schemas.microsoft.com/office/drawing/2012/chart" uri="{CE6537A1-D6FC-4f65-9D91-7224C49458BB}"/>
          </c:extLst>
        </c:dLbl>
      </c:pivotFmt>
      <c:pivotFmt>
        <c:idx val="7"/>
        <c:dLbl>
          <c:idx val="0"/>
          <c:showLegendKey val="0"/>
          <c:showVal val="0"/>
          <c:showCatName val="0"/>
          <c:showSerName val="0"/>
          <c:showPercent val="0"/>
          <c:showBubbleSize val="0"/>
          <c:extLst>
            <c:ext xmlns:c15="http://schemas.microsoft.com/office/drawing/2012/chart" uri="{CE6537A1-D6FC-4f65-9D91-7224C49458BB}"/>
          </c:extLst>
        </c:dLbl>
      </c:pivotFmt>
      <c:pivotFmt>
        <c:idx val="8"/>
        <c:dLbl>
          <c:idx val="0"/>
          <c:showLegendKey val="0"/>
          <c:showVal val="0"/>
          <c:showCatName val="0"/>
          <c:showSerName val="0"/>
          <c:showPercent val="0"/>
          <c:showBubbleSize val="0"/>
          <c:extLst>
            <c:ext xmlns:c15="http://schemas.microsoft.com/office/drawing/2012/chart" uri="{CE6537A1-D6FC-4f65-9D91-7224C49458BB}"/>
          </c:extLst>
        </c:dLbl>
      </c:pivotFmt>
      <c:pivotFmt>
        <c:idx val="9"/>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0"/>
        <c:spPr>
          <a:ln w="34925" cap="rnd">
            <a:solidFill>
              <a:schemeClr val="accent1"/>
            </a:solidFill>
            <a:round/>
          </a:ln>
          <a:effectLst>
            <a:outerShdw blurRad="40000" dist="23000" dir="5400000" rotWithShape="0">
              <a:srgbClr val="000000">
                <a:alpha val="35000"/>
              </a:srgbClr>
            </a:outerShdw>
          </a:effectLst>
        </c:spPr>
        <c:marker>
          <c:symbol val="circle"/>
          <c:size val="6"/>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w="9525">
              <a:solidFill>
                <a:schemeClr val="accent2"/>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areaChart>
        <c:grouping val="stacked"/>
        <c:varyColors val="0"/>
        <c:ser>
          <c:idx val="0"/>
          <c:order val="0"/>
          <c:tx>
            <c:strRef>
              <c:f>PIVOT!$B$11</c:f>
              <c:strCache>
                <c:ptCount val="1"/>
                <c:pt idx="0">
                  <c:v>Sum of Sales</c:v>
                </c:pt>
              </c:strCache>
            </c:strRef>
          </c:tx>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f>PIVOT!$A$12:$A$24</c:f>
              <c:multiLvlStrCache>
                <c:ptCount val="6"/>
                <c:lvl>
                  <c:pt idx="0">
                    <c:v>Jan</c:v>
                  </c:pt>
                  <c:pt idx="1">
                    <c:v>Feb</c:v>
                  </c:pt>
                  <c:pt idx="2">
                    <c:v>Mar</c:v>
                  </c:pt>
                  <c:pt idx="3">
                    <c:v>Apr</c:v>
                  </c:pt>
                  <c:pt idx="4">
                    <c:v>May</c:v>
                  </c:pt>
                  <c:pt idx="5">
                    <c:v>Jun</c:v>
                  </c:pt>
                </c:lvl>
                <c:lvl>
                  <c:pt idx="0">
                    <c:v>1</c:v>
                  </c:pt>
                  <c:pt idx="1">
                    <c:v>2</c:v>
                  </c:pt>
                  <c:pt idx="2">
                    <c:v>3</c:v>
                  </c:pt>
                  <c:pt idx="3">
                    <c:v>4</c:v>
                  </c:pt>
                  <c:pt idx="4">
                    <c:v>5</c:v>
                  </c:pt>
                  <c:pt idx="5">
                    <c:v>6</c:v>
                  </c:pt>
                </c:lvl>
              </c:multiLvlStrCache>
            </c:multiLvlStrRef>
          </c:cat>
          <c:val>
            <c:numRef>
              <c:f>PIVOT!$B$12:$B$24</c:f>
              <c:numCache>
                <c:formatCode>General</c:formatCode>
                <c:ptCount val="6"/>
                <c:pt idx="0">
                  <c:v>177447.65</c:v>
                </c:pt>
                <c:pt idx="1">
                  <c:v>662610.15</c:v>
                </c:pt>
                <c:pt idx="2">
                  <c:v>411976.65</c:v>
                </c:pt>
                <c:pt idx="3">
                  <c:v>496053.4</c:v>
                </c:pt>
                <c:pt idx="4">
                  <c:v>265665.5</c:v>
                </c:pt>
                <c:pt idx="5">
                  <c:v>615611.19999999995</c:v>
                </c:pt>
              </c:numCache>
            </c:numRef>
          </c:val>
          <c:extLst>
            <c:ext xmlns:c16="http://schemas.microsoft.com/office/drawing/2014/chart" uri="{C3380CC4-5D6E-409C-BE32-E72D297353CC}">
              <c16:uniqueId val="{00000005-5302-4F39-923A-F27763CD9F73}"/>
            </c:ext>
          </c:extLst>
        </c:ser>
        <c:dLbls>
          <c:showLegendKey val="0"/>
          <c:showVal val="1"/>
          <c:showCatName val="0"/>
          <c:showSerName val="0"/>
          <c:showPercent val="0"/>
          <c:showBubbleSize val="0"/>
        </c:dLbls>
        <c:axId val="1561139424"/>
        <c:axId val="1748943135"/>
      </c:areaChart>
      <c:lineChart>
        <c:grouping val="standard"/>
        <c:varyColors val="0"/>
        <c:ser>
          <c:idx val="1"/>
          <c:order val="1"/>
          <c:tx>
            <c:strRef>
              <c:f>PIVOT!$C$11</c:f>
              <c:strCache>
                <c:ptCount val="1"/>
                <c:pt idx="0">
                  <c:v>Sum of Sales2</c:v>
                </c:pt>
              </c:strCache>
            </c:strRef>
          </c:tx>
          <c:spPr>
            <a:ln w="34925" cap="rnd">
              <a:solidFill>
                <a:schemeClr val="accent2"/>
              </a:solidFill>
              <a:round/>
            </a:ln>
            <a:effectLst>
              <a:outerShdw blurRad="40000" dist="23000" dir="5400000" rotWithShape="0">
                <a:srgbClr val="000000">
                  <a:alpha val="35000"/>
                </a:srgbClr>
              </a:outerShdw>
            </a:effectLst>
          </c:spPr>
          <c:marker>
            <c:symbol val="circle"/>
            <c:size val="6"/>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w="9525">
                <a:solidFill>
                  <a:schemeClr val="accent2"/>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f>PIVOT!$A$12:$A$24</c:f>
              <c:multiLvlStrCache>
                <c:ptCount val="6"/>
                <c:lvl>
                  <c:pt idx="0">
                    <c:v>Jan</c:v>
                  </c:pt>
                  <c:pt idx="1">
                    <c:v>Feb</c:v>
                  </c:pt>
                  <c:pt idx="2">
                    <c:v>Mar</c:v>
                  </c:pt>
                  <c:pt idx="3">
                    <c:v>Apr</c:v>
                  </c:pt>
                  <c:pt idx="4">
                    <c:v>May</c:v>
                  </c:pt>
                  <c:pt idx="5">
                    <c:v>Jun</c:v>
                  </c:pt>
                </c:lvl>
                <c:lvl>
                  <c:pt idx="0">
                    <c:v>1</c:v>
                  </c:pt>
                  <c:pt idx="1">
                    <c:v>2</c:v>
                  </c:pt>
                  <c:pt idx="2">
                    <c:v>3</c:v>
                  </c:pt>
                  <c:pt idx="3">
                    <c:v>4</c:v>
                  </c:pt>
                  <c:pt idx="4">
                    <c:v>5</c:v>
                  </c:pt>
                  <c:pt idx="5">
                    <c:v>6</c:v>
                  </c:pt>
                </c:lvl>
              </c:multiLvlStrCache>
            </c:multiLvlStrRef>
          </c:cat>
          <c:val>
            <c:numRef>
              <c:f>PIVOT!$C$12:$C$24</c:f>
              <c:numCache>
                <c:formatCode>General</c:formatCode>
                <c:ptCount val="6"/>
                <c:pt idx="0">
                  <c:v>177447.65</c:v>
                </c:pt>
                <c:pt idx="1">
                  <c:v>662610.15</c:v>
                </c:pt>
                <c:pt idx="2">
                  <c:v>411976.65</c:v>
                </c:pt>
                <c:pt idx="3">
                  <c:v>496053.4</c:v>
                </c:pt>
                <c:pt idx="4">
                  <c:v>265665.5</c:v>
                </c:pt>
                <c:pt idx="5">
                  <c:v>615611.19999999995</c:v>
                </c:pt>
              </c:numCache>
            </c:numRef>
          </c:val>
          <c:smooth val="0"/>
          <c:extLst>
            <c:ext xmlns:c16="http://schemas.microsoft.com/office/drawing/2014/chart" uri="{C3380CC4-5D6E-409C-BE32-E72D297353CC}">
              <c16:uniqueId val="{00000006-5302-4F39-923A-F27763CD9F73}"/>
            </c:ext>
          </c:extLst>
        </c:ser>
        <c:dLbls>
          <c:showLegendKey val="0"/>
          <c:showVal val="0"/>
          <c:showCatName val="0"/>
          <c:showSerName val="0"/>
          <c:showPercent val="0"/>
          <c:showBubbleSize val="0"/>
        </c:dLbls>
        <c:marker val="1"/>
        <c:smooth val="0"/>
        <c:axId val="1311761839"/>
        <c:axId val="1286304543"/>
      </c:lineChart>
      <c:catAx>
        <c:axId val="1311761839"/>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86304543"/>
        <c:crosses val="autoZero"/>
        <c:auto val="1"/>
        <c:lblAlgn val="ctr"/>
        <c:lblOffset val="100"/>
        <c:noMultiLvlLbl val="0"/>
      </c:catAx>
      <c:valAx>
        <c:axId val="1286304543"/>
        <c:scaling>
          <c:orientation val="minMax"/>
        </c:scaling>
        <c:delete val="1"/>
        <c:axPos val="l"/>
        <c:numFmt formatCode="General" sourceLinked="1"/>
        <c:majorTickMark val="none"/>
        <c:minorTickMark val="none"/>
        <c:tickLblPos val="nextTo"/>
        <c:crossAx val="1311761839"/>
        <c:crosses val="autoZero"/>
        <c:crossBetween val="between"/>
      </c:valAx>
      <c:valAx>
        <c:axId val="1748943135"/>
        <c:scaling>
          <c:orientation val="minMax"/>
        </c:scaling>
        <c:delete val="0"/>
        <c:axPos val="r"/>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61139424"/>
        <c:crosses val="max"/>
        <c:crossBetween val="between"/>
      </c:valAx>
      <c:catAx>
        <c:axId val="1561139424"/>
        <c:scaling>
          <c:orientation val="minMax"/>
        </c:scaling>
        <c:delete val="1"/>
        <c:axPos val="b"/>
        <c:numFmt formatCode="General" sourceLinked="1"/>
        <c:majorTickMark val="none"/>
        <c:minorTickMark val="none"/>
        <c:tickLblPos val="nextTo"/>
        <c:crossAx val="1748943135"/>
        <c:crosses val="autoZero"/>
        <c:auto val="1"/>
        <c:lblAlgn val="ctr"/>
        <c:lblOffset val="100"/>
        <c:noMultiLvlLbl val="0"/>
      </c:cat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[Excel_Dashboard_Simple_Raw_Dataset.xlsx]PIVOT!Sales By Region</c:name>
    <c:fmtId val="5"/>
  </c:pivotSource>
  <c:chart>
    <c:title>
      <c:tx>
        <c:rich>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r>
              <a:rPr lang="en-IN" sz="1600" b="1">
                <a:solidFill>
                  <a:schemeClr val="tx1"/>
                </a:solidFill>
              </a:rPr>
              <a:t>SALES</a:t>
            </a:r>
            <a:r>
              <a:rPr lang="en-IN" sz="1600" b="1" baseline="0">
                <a:solidFill>
                  <a:schemeClr val="tx1"/>
                </a:solidFill>
              </a:rPr>
              <a:t> BY REGION</a:t>
            </a:r>
            <a:endParaRPr lang="en-IN" sz="1600" b="1">
              <a:solidFill>
                <a:schemeClr val="tx1"/>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endParaRPr lang="en-IN"/>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pivotFmt>
      <c:pivotFmt>
        <c:idx val="13"/>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w="19050">
            <a:solidFill>
              <a:schemeClr val="lt1"/>
            </a:solidFill>
          </a:ln>
          <a:effectLst/>
        </c:spPr>
      </c:pivotFmt>
      <c:pivotFmt>
        <c:idx val="15"/>
        <c:spPr>
          <a:solidFill>
            <a:schemeClr val="accent1"/>
          </a:solidFill>
          <a:ln w="19050">
            <a:solidFill>
              <a:schemeClr val="lt1"/>
            </a:solidFill>
          </a:ln>
          <a:effectLst/>
        </c:spPr>
      </c:pivotFmt>
      <c:pivotFmt>
        <c:idx val="16"/>
        <c:spPr>
          <a:solidFill>
            <a:schemeClr val="accent1"/>
          </a:solidFill>
          <a:ln w="19050">
            <a:solidFill>
              <a:schemeClr val="lt1"/>
            </a:solidFill>
          </a:ln>
          <a:effectLst/>
        </c:spPr>
      </c:pivotFmt>
      <c:pivotFmt>
        <c:idx val="17"/>
        <c:spPr>
          <a:solidFill>
            <a:schemeClr val="accent1"/>
          </a:solidFill>
          <a:ln w="19050">
            <a:solidFill>
              <a:schemeClr val="lt1"/>
            </a:solidFill>
          </a:ln>
          <a:effectLst/>
        </c:spPr>
      </c:pivotFmt>
      <c:pivotFmt>
        <c:idx val="18"/>
        <c:spPr>
          <a:solidFill>
            <a:schemeClr val="accent1"/>
          </a:solidFill>
          <a:ln w="19050">
            <a:solidFill>
              <a:schemeClr val="lt1"/>
            </a:solidFill>
          </a:ln>
          <a:effectLst/>
        </c:spPr>
      </c:pivotFmt>
      <c:pivotFmt>
        <c:idx val="19"/>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1"/>
          </a:solidFill>
          <a:ln w="19050">
            <a:solidFill>
              <a:schemeClr val="lt1"/>
            </a:solidFill>
          </a:ln>
          <a:effectLst/>
        </c:spPr>
      </c:pivotFmt>
      <c:pivotFmt>
        <c:idx val="21"/>
        <c:spPr>
          <a:solidFill>
            <a:schemeClr val="accent1"/>
          </a:solidFill>
          <a:ln w="19050">
            <a:solidFill>
              <a:schemeClr val="lt1"/>
            </a:solidFill>
          </a:ln>
          <a:effectLst/>
        </c:spPr>
      </c:pivotFmt>
      <c:pivotFmt>
        <c:idx val="22"/>
        <c:spPr>
          <a:solidFill>
            <a:schemeClr val="accent1"/>
          </a:solidFill>
          <a:ln w="19050">
            <a:solidFill>
              <a:schemeClr val="lt1"/>
            </a:solidFill>
          </a:ln>
          <a:effectLst/>
        </c:spPr>
      </c:pivotFmt>
      <c:pivotFmt>
        <c:idx val="23"/>
        <c:spPr>
          <a:solidFill>
            <a:schemeClr val="accent1"/>
          </a:solidFill>
          <a:ln w="19050">
            <a:solidFill>
              <a:schemeClr val="lt1"/>
            </a:solidFill>
          </a:ln>
          <a:effectLst/>
        </c:spPr>
      </c:pivotFmt>
      <c:pivotFmt>
        <c:idx val="24"/>
        <c:spPr>
          <a:solidFill>
            <a:schemeClr val="accent1"/>
          </a:solidFill>
          <a:ln w="19050">
            <a:solidFill>
              <a:schemeClr val="lt1"/>
            </a:solidFill>
          </a:ln>
          <a:effectLst/>
        </c:spPr>
      </c:pivotFmt>
    </c:pivotFmts>
    <c:plotArea>
      <c:layout/>
      <c:doughnutChart>
        <c:varyColors val="1"/>
        <c:ser>
          <c:idx val="0"/>
          <c:order val="0"/>
          <c:tx>
            <c:strRef>
              <c:f>PIVOT!$K$11</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8A06-46E8-BF34-836AAC8E41CC}"/>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8A06-46E8-BF34-836AAC8E41CC}"/>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8A06-46E8-BF34-836AAC8E41CC}"/>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8A06-46E8-BF34-836AAC8E41CC}"/>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8A06-46E8-BF34-836AAC8E41CC}"/>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PIVOT!$J$12:$J$17</c:f>
              <c:strCache>
                <c:ptCount val="5"/>
                <c:pt idx="0">
                  <c:v>East</c:v>
                </c:pt>
                <c:pt idx="1">
                  <c:v>North</c:v>
                </c:pt>
                <c:pt idx="2">
                  <c:v>South</c:v>
                </c:pt>
                <c:pt idx="3">
                  <c:v>Unknown</c:v>
                </c:pt>
                <c:pt idx="4">
                  <c:v>West</c:v>
                </c:pt>
              </c:strCache>
            </c:strRef>
          </c:cat>
          <c:val>
            <c:numRef>
              <c:f>PIVOT!$K$12:$K$17</c:f>
              <c:numCache>
                <c:formatCode>General</c:formatCode>
                <c:ptCount val="5"/>
                <c:pt idx="0">
                  <c:v>650732.75</c:v>
                </c:pt>
                <c:pt idx="1">
                  <c:v>496216.65</c:v>
                </c:pt>
                <c:pt idx="2">
                  <c:v>622693.85</c:v>
                </c:pt>
                <c:pt idx="3">
                  <c:v>1166.2</c:v>
                </c:pt>
                <c:pt idx="4">
                  <c:v>858555.1</c:v>
                </c:pt>
              </c:numCache>
            </c:numRef>
          </c:val>
          <c:extLst>
            <c:ext xmlns:c16="http://schemas.microsoft.com/office/drawing/2014/chart" uri="{C3380CC4-5D6E-409C-BE32-E72D297353CC}">
              <c16:uniqueId val="{0000000A-8A06-46E8-BF34-836AAC8E41CC}"/>
            </c:ext>
          </c:extLst>
        </c:ser>
        <c:dLbls>
          <c:showLegendKey val="0"/>
          <c:showVal val="1"/>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[Excel_Dashboard_Simple_Raw_Dataset.xlsx]PIVOT!Sales By Product</c:name>
    <c:fmtId val="5"/>
  </c:pivotSource>
  <c:chart>
    <c:title>
      <c:tx>
        <c:rich>
          <a:bodyPr rot="0" spcFirstLastPara="1" vertOverflow="ellipsis" vert="horz" wrap="square" anchor="ctr" anchorCtr="1"/>
          <a:lstStyle/>
          <a:p>
            <a:pPr>
              <a:defRPr sz="1600" b="1" i="0" u="none" strike="noStrike" kern="1200" baseline="0">
                <a:solidFill>
                  <a:schemeClr val="tx1"/>
                </a:solidFill>
                <a:latin typeface="+mn-lt"/>
                <a:ea typeface="+mn-ea"/>
                <a:cs typeface="+mn-cs"/>
              </a:defRPr>
            </a:pPr>
            <a:r>
              <a:rPr lang="en-IN">
                <a:solidFill>
                  <a:schemeClr val="tx1"/>
                </a:solidFill>
              </a:rPr>
              <a:t>SALES BY PRODUCT</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solidFill>
              <a:latin typeface="+mn-lt"/>
              <a:ea typeface="+mn-ea"/>
              <a:cs typeface="+mn-cs"/>
            </a:defRPr>
          </a:pPr>
          <a:endParaRPr lang="en-IN"/>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PIVOT!$E$11</c:f>
              <c:strCache>
                <c:ptCount val="1"/>
                <c:pt idx="0">
                  <c:v>Total</c:v>
                </c:pt>
              </c:strCache>
            </c:strRef>
          </c:tx>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2">
                          <a:lumMod val="35000"/>
                          <a:lumOff val="65000"/>
                        </a:schemeClr>
                      </a:solidFill>
                    </a:ln>
                    <a:effectLst/>
                  </c:spPr>
                </c15:leaderLines>
              </c:ext>
            </c:extLst>
          </c:dLbls>
          <c:cat>
            <c:strRef>
              <c:f>PIVOT!$D$12:$D$17</c:f>
              <c:strCache>
                <c:ptCount val="5"/>
                <c:pt idx="0">
                  <c:v>Headset</c:v>
                </c:pt>
                <c:pt idx="1">
                  <c:v>Keyboard</c:v>
                </c:pt>
                <c:pt idx="2">
                  <c:v>Laptop</c:v>
                </c:pt>
                <c:pt idx="3">
                  <c:v>Monitor</c:v>
                </c:pt>
                <c:pt idx="4">
                  <c:v>Mouse</c:v>
                </c:pt>
              </c:strCache>
            </c:strRef>
          </c:cat>
          <c:val>
            <c:numRef>
              <c:f>PIVOT!$E$12:$E$17</c:f>
              <c:numCache>
                <c:formatCode>General</c:formatCode>
                <c:ptCount val="5"/>
                <c:pt idx="0">
                  <c:v>109501.65</c:v>
                </c:pt>
                <c:pt idx="1">
                  <c:v>67251.3</c:v>
                </c:pt>
                <c:pt idx="2">
                  <c:v>1499972.4</c:v>
                </c:pt>
                <c:pt idx="3">
                  <c:v>879964.95</c:v>
                </c:pt>
                <c:pt idx="4">
                  <c:v>72674.25</c:v>
                </c:pt>
              </c:numCache>
            </c:numRef>
          </c:val>
          <c:extLst>
            <c:ext xmlns:c16="http://schemas.microsoft.com/office/drawing/2014/chart" uri="{C3380CC4-5D6E-409C-BE32-E72D297353CC}">
              <c16:uniqueId val="{00000000-A55E-4DB4-9899-CADF9EEA2AC2}"/>
            </c:ext>
          </c:extLst>
        </c:ser>
        <c:dLbls>
          <c:dLblPos val="outEnd"/>
          <c:showLegendKey val="0"/>
          <c:showVal val="1"/>
          <c:showCatName val="0"/>
          <c:showSerName val="0"/>
          <c:showPercent val="0"/>
          <c:showBubbleSize val="0"/>
        </c:dLbls>
        <c:gapWidth val="100"/>
        <c:overlap val="-24"/>
        <c:axId val="2007308047"/>
        <c:axId val="1462016671"/>
      </c:barChart>
      <c:catAx>
        <c:axId val="2007308047"/>
        <c:scaling>
          <c:orientation val="minMax"/>
        </c:scaling>
        <c:delete val="0"/>
        <c:axPos val="b"/>
        <c:numFmt formatCode="General" sourceLinked="1"/>
        <c:majorTickMark val="none"/>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1462016671"/>
        <c:crosses val="autoZero"/>
        <c:auto val="1"/>
        <c:lblAlgn val="ctr"/>
        <c:lblOffset val="100"/>
        <c:noMultiLvlLbl val="0"/>
      </c:catAx>
      <c:valAx>
        <c:axId val="1462016671"/>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200730804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2">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[Excel_Dashboard_Simple_Raw_Dataset.xlsx]PIVOT!Monthly Sales vs Cost vs Profit</c:name>
    <c:fmtId val="7"/>
  </c:pivotSource>
  <c:chart>
    <c:title>
      <c:tx>
        <c:rich>
          <a:bodyPr rot="0" spcFirstLastPara="1" vertOverflow="ellipsis" vert="horz" wrap="square" anchor="ctr" anchorCtr="1"/>
          <a:lstStyle/>
          <a:p>
            <a:pPr>
              <a:defRPr sz="1600" b="1" i="0" u="none" strike="noStrike" kern="1200" baseline="0">
                <a:solidFill>
                  <a:schemeClr val="tx1"/>
                </a:solidFill>
                <a:latin typeface="+mn-lt"/>
                <a:ea typeface="+mn-ea"/>
                <a:cs typeface="+mn-cs"/>
              </a:defRPr>
            </a:pPr>
            <a:r>
              <a:rPr lang="en-IN">
                <a:solidFill>
                  <a:schemeClr val="tx1"/>
                </a:solidFill>
              </a:rPr>
              <a:t>MONTHLY SALES VS COST VS PROFIT</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solidFill>
              <a:latin typeface="+mn-lt"/>
              <a:ea typeface="+mn-ea"/>
              <a:cs typeface="+mn-cs"/>
            </a:defRPr>
          </a:pPr>
          <a:endParaRPr lang="en-IN"/>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dLbl>
          <c:idx val="0"/>
          <c:showLegendKey val="0"/>
          <c:showVal val="0"/>
          <c:showCatName val="0"/>
          <c:showSerName val="0"/>
          <c:showPercent val="0"/>
          <c:showBubbleSize val="0"/>
          <c:extLst>
            <c:ext xmlns:c15="http://schemas.microsoft.com/office/drawing/2012/chart" uri="{CE6537A1-D6FC-4f65-9D91-7224C49458BB}"/>
          </c:extLst>
        </c:dLbl>
      </c:pivotFmt>
      <c:pivotFmt>
        <c:idx val="6"/>
        <c:dLbl>
          <c:idx val="0"/>
          <c:showLegendKey val="0"/>
          <c:showVal val="0"/>
          <c:showCatName val="0"/>
          <c:showSerName val="0"/>
          <c:showPercent val="0"/>
          <c:showBubbleSize val="0"/>
          <c:extLst>
            <c:ext xmlns:c15="http://schemas.microsoft.com/office/drawing/2012/chart" uri="{CE6537A1-D6FC-4f65-9D91-7224C49458BB}"/>
          </c:extLst>
        </c:dLbl>
      </c:pivotFmt>
      <c:pivotFmt>
        <c:idx val="7"/>
        <c:dLbl>
          <c:idx val="0"/>
          <c:showLegendKey val="0"/>
          <c:showVal val="0"/>
          <c:showCatName val="0"/>
          <c:showSerName val="0"/>
          <c:showPercent val="0"/>
          <c:showBubbleSize val="0"/>
          <c:extLst>
            <c:ext xmlns:c15="http://schemas.microsoft.com/office/drawing/2012/chart" uri="{CE6537A1-D6FC-4f65-9D91-7224C49458BB}"/>
          </c:extLst>
        </c:dLbl>
      </c:pivotFmt>
      <c:pivotFmt>
        <c:idx val="8"/>
        <c:dLbl>
          <c:idx val="0"/>
          <c:showLegendKey val="0"/>
          <c:showVal val="0"/>
          <c:showCatName val="0"/>
          <c:showSerName val="0"/>
          <c:showPercent val="0"/>
          <c:showBubbleSize val="0"/>
          <c:extLst>
            <c:ext xmlns:c15="http://schemas.microsoft.com/office/drawing/2012/chart" uri="{CE6537A1-D6FC-4f65-9D91-7224C49458BB}"/>
          </c:extLst>
        </c:dLbl>
      </c:pivotFmt>
      <c:pivotFmt>
        <c:idx val="9"/>
        <c:dLbl>
          <c:idx val="0"/>
          <c:showLegendKey val="0"/>
          <c:showVal val="0"/>
          <c:showCatName val="0"/>
          <c:showSerName val="0"/>
          <c:showPercent val="0"/>
          <c:showBubbleSize val="0"/>
          <c:extLst>
            <c:ext xmlns:c15="http://schemas.microsoft.com/office/drawing/2012/chart" uri="{CE6537A1-D6FC-4f65-9D91-7224C49458BB}"/>
          </c:extLst>
        </c:dLbl>
      </c:pivotFmt>
      <c:pivotFmt>
        <c:idx val="10"/>
        <c:dLbl>
          <c:idx val="0"/>
          <c:showLegendKey val="0"/>
          <c:showVal val="0"/>
          <c:showCatName val="0"/>
          <c:showSerName val="0"/>
          <c:showPercent val="0"/>
          <c:showBubbleSize val="0"/>
          <c:extLst>
            <c:ext xmlns:c15="http://schemas.microsoft.com/office/drawing/2012/chart" uri="{CE6537A1-D6FC-4f65-9D91-7224C49458BB}"/>
          </c:extLst>
        </c:dLbl>
      </c:pivotFmt>
      <c:pivotFmt>
        <c:idx val="11"/>
        <c:dLbl>
          <c:idx val="0"/>
          <c:showLegendKey val="0"/>
          <c:showVal val="0"/>
          <c:showCatName val="0"/>
          <c:showSerName val="0"/>
          <c:showPercent val="0"/>
          <c:showBubbleSize val="0"/>
          <c:extLst>
            <c:ext xmlns:c15="http://schemas.microsoft.com/office/drawing/2012/chart" uri="{CE6537A1-D6FC-4f65-9D91-7224C49458BB}"/>
          </c:extLst>
        </c:dLbl>
      </c:pivotFmt>
      <c:pivotFmt>
        <c:idx val="12"/>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3"/>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4"/>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PIVOT!$N$11</c:f>
              <c:strCache>
                <c:ptCount val="1"/>
                <c:pt idx="0">
                  <c:v>Sum of Sales</c:v>
                </c:pt>
              </c:strCache>
            </c:strRef>
          </c:tx>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f>PIVOT!$M$12:$M$24</c:f>
              <c:multiLvlStrCache>
                <c:ptCount val="6"/>
                <c:lvl>
                  <c:pt idx="0">
                    <c:v>Jan</c:v>
                  </c:pt>
                  <c:pt idx="1">
                    <c:v>Feb</c:v>
                  </c:pt>
                  <c:pt idx="2">
                    <c:v>Mar</c:v>
                  </c:pt>
                  <c:pt idx="3">
                    <c:v>Apr</c:v>
                  </c:pt>
                  <c:pt idx="4">
                    <c:v>May</c:v>
                  </c:pt>
                  <c:pt idx="5">
                    <c:v>Jun</c:v>
                  </c:pt>
                </c:lvl>
                <c:lvl>
                  <c:pt idx="0">
                    <c:v>1</c:v>
                  </c:pt>
                  <c:pt idx="1">
                    <c:v>2</c:v>
                  </c:pt>
                  <c:pt idx="2">
                    <c:v>3</c:v>
                  </c:pt>
                  <c:pt idx="3">
                    <c:v>4</c:v>
                  </c:pt>
                  <c:pt idx="4">
                    <c:v>5</c:v>
                  </c:pt>
                  <c:pt idx="5">
                    <c:v>6</c:v>
                  </c:pt>
                </c:lvl>
              </c:multiLvlStrCache>
            </c:multiLvlStrRef>
          </c:cat>
          <c:val>
            <c:numRef>
              <c:f>PIVOT!$N$12:$N$24</c:f>
              <c:numCache>
                <c:formatCode>General</c:formatCode>
                <c:ptCount val="6"/>
                <c:pt idx="0">
                  <c:v>177447.65</c:v>
                </c:pt>
                <c:pt idx="1">
                  <c:v>662610.15</c:v>
                </c:pt>
                <c:pt idx="2">
                  <c:v>411976.65</c:v>
                </c:pt>
                <c:pt idx="3">
                  <c:v>496053.4</c:v>
                </c:pt>
                <c:pt idx="4">
                  <c:v>265665.5</c:v>
                </c:pt>
                <c:pt idx="5">
                  <c:v>615611.19999999995</c:v>
                </c:pt>
              </c:numCache>
            </c:numRef>
          </c:val>
          <c:extLst>
            <c:ext xmlns:c16="http://schemas.microsoft.com/office/drawing/2014/chart" uri="{C3380CC4-5D6E-409C-BE32-E72D297353CC}">
              <c16:uniqueId val="{00000000-77A8-4556-9A23-DB0E6C9757B4}"/>
            </c:ext>
          </c:extLst>
        </c:ser>
        <c:ser>
          <c:idx val="2"/>
          <c:order val="2"/>
          <c:tx>
            <c:strRef>
              <c:f>PIVOT!$P$11</c:f>
              <c:strCache>
                <c:ptCount val="1"/>
                <c:pt idx="0">
                  <c:v>Sum of Cost</c:v>
                </c:pt>
              </c:strCache>
            </c:strRef>
          </c:tx>
          <c:spPr>
            <a:gradFill rotWithShape="1">
              <a:gsLst>
                <a:gs pos="0">
                  <a:schemeClr val="accent3">
                    <a:shade val="51000"/>
                    <a:satMod val="130000"/>
                  </a:schemeClr>
                </a:gs>
                <a:gs pos="80000">
                  <a:schemeClr val="accent3">
                    <a:shade val="93000"/>
                    <a:satMod val="130000"/>
                  </a:schemeClr>
                </a:gs>
                <a:gs pos="100000">
                  <a:schemeClr val="accent3">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f>PIVOT!$M$12:$M$24</c:f>
              <c:multiLvlStrCache>
                <c:ptCount val="6"/>
                <c:lvl>
                  <c:pt idx="0">
                    <c:v>Jan</c:v>
                  </c:pt>
                  <c:pt idx="1">
                    <c:v>Feb</c:v>
                  </c:pt>
                  <c:pt idx="2">
                    <c:v>Mar</c:v>
                  </c:pt>
                  <c:pt idx="3">
                    <c:v>Apr</c:v>
                  </c:pt>
                  <c:pt idx="4">
                    <c:v>May</c:v>
                  </c:pt>
                  <c:pt idx="5">
                    <c:v>Jun</c:v>
                  </c:pt>
                </c:lvl>
                <c:lvl>
                  <c:pt idx="0">
                    <c:v>1</c:v>
                  </c:pt>
                  <c:pt idx="1">
                    <c:v>2</c:v>
                  </c:pt>
                  <c:pt idx="2">
                    <c:v>3</c:v>
                  </c:pt>
                  <c:pt idx="3">
                    <c:v>4</c:v>
                  </c:pt>
                  <c:pt idx="4">
                    <c:v>5</c:v>
                  </c:pt>
                  <c:pt idx="5">
                    <c:v>6</c:v>
                  </c:pt>
                </c:lvl>
              </c:multiLvlStrCache>
            </c:multiLvlStrRef>
          </c:cat>
          <c:val>
            <c:numRef>
              <c:f>PIVOT!$P$12:$P$24</c:f>
              <c:numCache>
                <c:formatCode>General</c:formatCode>
                <c:ptCount val="6"/>
                <c:pt idx="0">
                  <c:v>122781.37</c:v>
                </c:pt>
                <c:pt idx="1">
                  <c:v>448957.79</c:v>
                </c:pt>
                <c:pt idx="2">
                  <c:v>282684.78000000003</c:v>
                </c:pt>
                <c:pt idx="3">
                  <c:v>354571.81</c:v>
                </c:pt>
                <c:pt idx="4">
                  <c:v>193553.28</c:v>
                </c:pt>
                <c:pt idx="5">
                  <c:v>446812</c:v>
                </c:pt>
              </c:numCache>
            </c:numRef>
          </c:val>
          <c:extLst>
            <c:ext xmlns:c16="http://schemas.microsoft.com/office/drawing/2014/chart" uri="{C3380CC4-5D6E-409C-BE32-E72D297353CC}">
              <c16:uniqueId val="{00000001-77A8-4556-9A23-DB0E6C9757B4}"/>
            </c:ext>
          </c:extLst>
        </c:ser>
        <c:ser>
          <c:idx val="1"/>
          <c:order val="1"/>
          <c:tx>
            <c:strRef>
              <c:f>PIVOT!$O$11</c:f>
              <c:strCache>
                <c:ptCount val="1"/>
                <c:pt idx="0">
                  <c:v>Sum of Profit</c:v>
                </c:pt>
              </c:strCache>
            </c:strRef>
          </c:tx>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f>PIVOT!$M$12:$M$24</c:f>
              <c:multiLvlStrCache>
                <c:ptCount val="6"/>
                <c:lvl>
                  <c:pt idx="0">
                    <c:v>Jan</c:v>
                  </c:pt>
                  <c:pt idx="1">
                    <c:v>Feb</c:v>
                  </c:pt>
                  <c:pt idx="2">
                    <c:v>Mar</c:v>
                  </c:pt>
                  <c:pt idx="3">
                    <c:v>Apr</c:v>
                  </c:pt>
                  <c:pt idx="4">
                    <c:v>May</c:v>
                  </c:pt>
                  <c:pt idx="5">
                    <c:v>Jun</c:v>
                  </c:pt>
                </c:lvl>
                <c:lvl>
                  <c:pt idx="0">
                    <c:v>1</c:v>
                  </c:pt>
                  <c:pt idx="1">
                    <c:v>2</c:v>
                  </c:pt>
                  <c:pt idx="2">
                    <c:v>3</c:v>
                  </c:pt>
                  <c:pt idx="3">
                    <c:v>4</c:v>
                  </c:pt>
                  <c:pt idx="4">
                    <c:v>5</c:v>
                  </c:pt>
                  <c:pt idx="5">
                    <c:v>6</c:v>
                  </c:pt>
                </c:lvl>
              </c:multiLvlStrCache>
            </c:multiLvlStrRef>
          </c:cat>
          <c:val>
            <c:numRef>
              <c:f>PIVOT!$O$12:$O$24</c:f>
              <c:numCache>
                <c:formatCode>General</c:formatCode>
                <c:ptCount val="6"/>
                <c:pt idx="0">
                  <c:v>54666.28</c:v>
                </c:pt>
                <c:pt idx="1">
                  <c:v>213652.36</c:v>
                </c:pt>
                <c:pt idx="2">
                  <c:v>129291.87</c:v>
                </c:pt>
                <c:pt idx="3">
                  <c:v>141481.59</c:v>
                </c:pt>
                <c:pt idx="4">
                  <c:v>72112.22</c:v>
                </c:pt>
                <c:pt idx="5">
                  <c:v>168799.2</c:v>
                </c:pt>
              </c:numCache>
            </c:numRef>
          </c:val>
          <c:extLst>
            <c:ext xmlns:c16="http://schemas.microsoft.com/office/drawing/2014/chart" uri="{C3380CC4-5D6E-409C-BE32-E72D297353CC}">
              <c16:uniqueId val="{00000002-77A8-4556-9A23-DB0E6C9757B4}"/>
            </c:ext>
          </c:extLst>
        </c:ser>
        <c:dLbls>
          <c:dLblPos val="outEnd"/>
          <c:showLegendKey val="0"/>
          <c:showVal val="1"/>
          <c:showCatName val="0"/>
          <c:showSerName val="0"/>
          <c:showPercent val="0"/>
          <c:showBubbleSize val="0"/>
        </c:dLbls>
        <c:gapWidth val="100"/>
        <c:overlap val="-24"/>
        <c:axId val="2012789183"/>
        <c:axId val="1462029151"/>
      </c:barChart>
      <c:catAx>
        <c:axId val="2012789183"/>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62029151"/>
        <c:crosses val="autoZero"/>
        <c:auto val="1"/>
        <c:lblAlgn val="ctr"/>
        <c:lblOffset val="100"/>
        <c:noMultiLvlLbl val="0"/>
      </c:catAx>
      <c:valAx>
        <c:axId val="1462029151"/>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1278918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[Excel_Dashboard_Simple_Raw_Dataset.xlsx]PIVOT!Profit By Product</c:name>
    <c:fmtId val="5"/>
  </c:pivotSource>
  <c:chart>
    <c:title>
      <c:tx>
        <c:rich>
          <a:bodyPr rot="0" spcFirstLastPara="1" vertOverflow="ellipsis" vert="horz" wrap="square" anchor="ctr" anchorCtr="1"/>
          <a:lstStyle/>
          <a:p>
            <a:pPr>
              <a:defRPr sz="1400" b="0" i="0" u="none" strike="noStrike" kern="1200" cap="none" spc="20" baseline="0">
                <a:solidFill>
                  <a:schemeClr val="tx1"/>
                </a:solidFill>
                <a:latin typeface="+mn-lt"/>
                <a:ea typeface="+mn-ea"/>
                <a:cs typeface="+mn-cs"/>
              </a:defRPr>
            </a:pPr>
            <a:r>
              <a:rPr lang="en-US" sz="1600" b="1">
                <a:solidFill>
                  <a:schemeClr val="tx1"/>
                </a:solidFill>
              </a:rPr>
              <a:t>PROFIT BY PRODUCT</a:t>
            </a:r>
          </a:p>
        </c:rich>
      </c:tx>
      <c:overlay val="0"/>
      <c:spPr>
        <a:noFill/>
        <a:ln>
          <a:noFill/>
        </a:ln>
        <a:effectLst/>
      </c:spPr>
      <c:txPr>
        <a:bodyPr rot="0" spcFirstLastPara="1" vertOverflow="ellipsis" vert="horz" wrap="square" anchor="ctr" anchorCtr="1"/>
        <a:lstStyle/>
        <a:p>
          <a:pPr>
            <a:defRPr sz="1400" b="0" i="0" u="none" strike="noStrike" kern="1200" cap="none" spc="20" baseline="0">
              <a:solidFill>
                <a:schemeClr val="tx1"/>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tint val="50000"/>
                  <a:satMod val="300000"/>
                </a:schemeClr>
              </a:gs>
              <a:gs pos="35000">
                <a:schemeClr val="accent1">
                  <a:tint val="37000"/>
                  <a:satMod val="300000"/>
                </a:schemeClr>
              </a:gs>
              <a:gs pos="100000">
                <a:schemeClr val="accent1">
                  <a:tint val="15000"/>
                  <a:satMod val="350000"/>
                </a:schemeClr>
              </a:gs>
            </a:gsLst>
            <a:lin ang="16200000" scaled="1"/>
          </a:gradFill>
          <a:ln w="9525" cap="flat" cmpd="sng" algn="ctr">
            <a:solidFill>
              <a:schemeClr val="accent1">
                <a:shade val="95000"/>
              </a:schemeClr>
            </a:solidFill>
            <a:round/>
          </a:ln>
          <a:effectLst>
            <a:outerShdw blurRad="40000" dist="20000" dir="5400000" rotWithShape="0">
              <a:srgbClr val="000000">
                <a:alpha val="38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dLblPos val="inBase"/>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stacked"/>
        <c:varyColors val="0"/>
        <c:ser>
          <c:idx val="0"/>
          <c:order val="0"/>
          <c:tx>
            <c:strRef>
              <c:f>PIVOT!$H$11</c:f>
              <c:strCache>
                <c:ptCount val="1"/>
                <c:pt idx="0">
                  <c:v>Total</c:v>
                </c:pt>
              </c:strCache>
            </c:strRef>
          </c:tx>
          <c:spPr>
            <a:gradFill rotWithShape="1">
              <a:gsLst>
                <a:gs pos="0">
                  <a:schemeClr val="accent1">
                    <a:tint val="50000"/>
                    <a:satMod val="300000"/>
                  </a:schemeClr>
                </a:gs>
                <a:gs pos="35000">
                  <a:schemeClr val="accent1">
                    <a:tint val="37000"/>
                    <a:satMod val="300000"/>
                  </a:schemeClr>
                </a:gs>
                <a:gs pos="100000">
                  <a:schemeClr val="accent1">
                    <a:tint val="15000"/>
                    <a:satMod val="350000"/>
                  </a:schemeClr>
                </a:gs>
              </a:gsLst>
              <a:lin ang="16200000" scaled="1"/>
            </a:gradFill>
            <a:ln w="9525" cap="flat" cmpd="sng" algn="ctr">
              <a:solidFill>
                <a:schemeClr val="accent1">
                  <a:shade val="95000"/>
                </a:schemeClr>
              </a:solidFill>
              <a:round/>
            </a:ln>
            <a:effectLst>
              <a:outerShdw blurRad="40000" dist="20000" dir="5400000" rotWithShape="0">
                <a:srgbClr val="000000">
                  <a:alpha val="38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dLblPos val="inBase"/>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PIVOT!$G$12:$G$17</c:f>
              <c:strCache>
                <c:ptCount val="5"/>
                <c:pt idx="0">
                  <c:v>Headset</c:v>
                </c:pt>
                <c:pt idx="1">
                  <c:v>Keyboard</c:v>
                </c:pt>
                <c:pt idx="2">
                  <c:v>Laptop</c:v>
                </c:pt>
                <c:pt idx="3">
                  <c:v>Monitor</c:v>
                </c:pt>
                <c:pt idx="4">
                  <c:v>Mouse</c:v>
                </c:pt>
              </c:strCache>
            </c:strRef>
          </c:cat>
          <c:val>
            <c:numRef>
              <c:f>PIVOT!$H$12:$H$17</c:f>
              <c:numCache>
                <c:formatCode>General</c:formatCode>
                <c:ptCount val="5"/>
                <c:pt idx="0">
                  <c:v>31980.18</c:v>
                </c:pt>
                <c:pt idx="1">
                  <c:v>21380.880000000001</c:v>
                </c:pt>
                <c:pt idx="2">
                  <c:v>458335.61</c:v>
                </c:pt>
                <c:pt idx="3">
                  <c:v>250328.43</c:v>
                </c:pt>
                <c:pt idx="4">
                  <c:v>17978.419999999998</c:v>
                </c:pt>
              </c:numCache>
            </c:numRef>
          </c:val>
          <c:extLst>
            <c:ext xmlns:c16="http://schemas.microsoft.com/office/drawing/2014/chart" uri="{C3380CC4-5D6E-409C-BE32-E72D297353CC}">
              <c16:uniqueId val="{00000000-2682-4EDD-8BC0-F754A156381C}"/>
            </c:ext>
          </c:extLst>
        </c:ser>
        <c:dLbls>
          <c:dLblPos val="inBase"/>
          <c:showLegendKey val="0"/>
          <c:showVal val="1"/>
          <c:showCatName val="0"/>
          <c:showSerName val="0"/>
          <c:showPercent val="0"/>
          <c:showBubbleSize val="0"/>
        </c:dLbls>
        <c:gapWidth val="150"/>
        <c:overlap val="100"/>
        <c:axId val="1349514927"/>
        <c:axId val="1086982335"/>
      </c:barChart>
      <c:catAx>
        <c:axId val="1349514927"/>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endParaRPr lang="en-US"/>
          </a:p>
        </c:txPr>
        <c:crossAx val="1086982335"/>
        <c:crosses val="autoZero"/>
        <c:auto val="1"/>
        <c:lblAlgn val="ctr"/>
        <c:lblOffset val="100"/>
        <c:noMultiLvlLbl val="0"/>
      </c:catAx>
      <c:valAx>
        <c:axId val="1086982335"/>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endParaRPr lang="en-US"/>
          </a:p>
        </c:txPr>
        <c:crossAx val="134951492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52">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7">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lumOff val="2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4.xml><?xml version="1.0" encoding="utf-8"?>
<cs:chartStyle xmlns:cs="http://schemas.microsoft.com/office/drawing/2012/chartStyle" xmlns:a="http://schemas.openxmlformats.org/drawingml/2006/main" id="340">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5.xml><?xml version="1.0" encoding="utf-8"?>
<cs:chartStyle xmlns:cs="http://schemas.microsoft.com/office/drawing/2012/chartStyle" xmlns:a="http://schemas.openxmlformats.org/drawingml/2006/main" id="301">
  <cs:axisTitle>
    <cs:lnRef idx="0"/>
    <cs:fillRef idx="0"/>
    <cs:effectRef idx="0"/>
    <cs:fontRef idx="minor">
      <a:schemeClr val="tx1">
        <a:lumMod val="50000"/>
        <a:lumOff val="50000"/>
      </a:schemeClr>
    </cs:fontRef>
    <cs:defRPr sz="900" kern="1200" cap="all"/>
  </cs:axisTitle>
  <cs:categoryAxis>
    <cs:lnRef idx="0"/>
    <cs:fillRef idx="0"/>
    <cs:effectRef idx="0"/>
    <cs:fontRef idx="minor">
      <a:schemeClr val="tx1">
        <a:lumMod val="50000"/>
        <a:lumOff val="50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50000"/>
        <a:lumOff val="50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
  <cs:dataPoint3D>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3D>
  <cs:dataPointLine>
    <cs:lnRef idx="0">
      <cs:styleClr val="auto"/>
    </cs:lnRef>
    <cs:fillRef idx="2">
      <cs:styleClr val="auto"/>
    </cs:fillRef>
    <cs:effectRef idx="1"/>
    <cs:fontRef idx="minor">
      <a:schemeClr val="dk1"/>
    </cs:fontRef>
    <cs:spPr>
      <a:ln w="15875" cap="rnd">
        <a:solidFill>
          <a:schemeClr val="phClr"/>
        </a:solidFill>
        <a:round/>
      </a:ln>
    </cs:spPr>
  </cs:dataPointLine>
  <cs:dataPointMarker>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Marker>
  <cs:dataPointMarkerLayout symbol="circle" size="4"/>
  <cs:dataPointWireframe>
    <cs:lnRef idx="0">
      <cs:styleClr val="auto"/>
    </cs:lnRef>
    <cs:fillRef idx="2"/>
    <cs:effectRef idx="0"/>
    <cs:fontRef idx="minor">
      <a:schemeClr val="dk1"/>
    </cs:fontRef>
    <cs:spPr>
      <a:ln w="9525" cap="rnd">
        <a:solidFill>
          <a:schemeClr val="phClr"/>
        </a:solidFill>
        <a:round/>
      </a:ln>
    </cs:spPr>
  </cs:dataPointWireframe>
  <cs:dataTable>
    <cs:lnRef idx="0"/>
    <cs:fillRef idx="0"/>
    <cs:effectRef idx="0"/>
    <cs:fontRef idx="minor">
      <a:schemeClr val="tx1">
        <a:lumMod val="50000"/>
        <a:lumOff val="50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35000"/>
            <a:lumOff val="65000"/>
          </a:schemeClr>
        </a:solidFill>
        <a:prstDash val="dash"/>
      </a:ln>
    </cs:spPr>
  </cs:dropLine>
  <cs:errorBar>
    <cs:lnRef idx="0"/>
    <cs:fillRef idx="0"/>
    <cs:effectRef idx="0"/>
    <cs:fontRef idx="minor">
      <a:schemeClr val="dk1"/>
    </cs:fontRef>
    <cs:spPr>
      <a:ln w="9525">
        <a:solidFill>
          <a:schemeClr val="tx1">
            <a:lumMod val="50000"/>
            <a:lumOff val="50000"/>
          </a:schemeClr>
        </a:solidFill>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prstDash val="dash"/>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50000"/>
        <a:lumOff val="50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50000"/>
        <a:lumOff val="50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prstDash val="dash"/>
      </a:ln>
    </cs:spPr>
  </cs:seriesLine>
  <cs:title>
    <cs:lnRef idx="0"/>
    <cs:fillRef idx="0"/>
    <cs:effectRef idx="0"/>
    <cs:fontRef idx="minor">
      <a:schemeClr val="tx1">
        <a:lumMod val="50000"/>
        <a:lumOff val="50000"/>
      </a:schemeClr>
    </cs:fontRef>
    <cs:defRPr sz="1400" kern="1200" cap="none" spc="20" baseline="0"/>
  </cs:title>
  <cs:trendline>
    <cs:lnRef idx="0">
      <cs:styleClr val="auto"/>
    </cs:lnRef>
    <cs:fillRef idx="2"/>
    <cs:effectRef idx="0"/>
    <cs:fontRef idx="minor">
      <a:schemeClr val="dk1"/>
    </cs:fontRef>
    <cs:spPr>
      <a:ln w="9525" cap="rnd">
        <a:solidFill>
          <a:schemeClr val="phClr"/>
        </a:solidFill>
      </a:ln>
    </cs:spPr>
  </cs:trendline>
  <cs:trendlineLabel>
    <cs:lnRef idx="0"/>
    <cs:fillRef idx="0"/>
    <cs:effectRef idx="0"/>
    <cs:fontRef idx="minor">
      <a:schemeClr val="tx1">
        <a:lumMod val="50000"/>
        <a:lumOff val="50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50000"/>
        <a:lumOff val="50000"/>
      </a:schemeClr>
    </cs:fontRef>
    <cs:defRPr sz="900" kern="1200"/>
  </cs:valueAxis>
  <cs:wall>
    <cs:lnRef idx="0"/>
    <cs:fillRef idx="0"/>
    <cs:effectRef idx="0"/>
    <cs:fontRef idx="minor">
      <a:schemeClr val="dk1"/>
    </cs:fontRef>
  </cs:wall>
</cs:chartStyle>
</file>

<file path=xl/drawings/_rels/drawing2.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editAs="oneCell">
    <xdr:from>
      <xdr:col>16</xdr:col>
      <xdr:colOff>119063</xdr:colOff>
      <xdr:row>17</xdr:row>
      <xdr:rowOff>119062</xdr:rowOff>
    </xdr:from>
    <xdr:to>
      <xdr:col>21</xdr:col>
      <xdr:colOff>416719</xdr:colOff>
      <xdr:row>24</xdr:row>
      <xdr:rowOff>157162</xdr:rowOff>
    </xdr:to>
    <mc:AlternateContent xmlns:mc="http://schemas.openxmlformats.org/markup-compatibility/2006" xmlns:tsle="http://schemas.microsoft.com/office/drawing/2012/timeslicer">
      <mc:Choice Requires="tsle">
        <xdr:graphicFrame macro="">
          <xdr:nvGraphicFramePr>
            <xdr:cNvPr id="8" name="Order_Date 1">
              <a:extLst>
                <a:ext uri="{FF2B5EF4-FFF2-40B4-BE49-F238E27FC236}">
                  <a16:creationId xmlns:a16="http://schemas.microsoft.com/office/drawing/2014/main" id="{C0275AA7-B184-41D6-A0A2-2D599E152731}"/>
                </a:ext>
              </a:extLst>
            </xdr:cNvPr>
            <xdr:cNvGraphicFramePr/>
          </xdr:nvGraphicFramePr>
          <xdr:xfrm>
            <a:off x="0" y="0"/>
            <a:ext cx="0" cy="0"/>
          </xdr:xfrm>
          <a:graphic>
            <a:graphicData uri="http://schemas.microsoft.com/office/drawing/2012/timeslicer">
              <tsle:timeslicer name="Order_Date 1"/>
            </a:graphicData>
          </a:graphic>
        </xdr:graphicFrame>
      </mc:Choice>
      <mc:Fallback xmlns="">
        <xdr:sp macro="" textlink="">
          <xdr:nvSpPr>
            <xdr:cNvPr id="0" name=""/>
            <xdr:cNvSpPr>
              <a:spLocks noTextEdit="1"/>
            </xdr:cNvSpPr>
          </xdr:nvSpPr>
          <xdr:spPr>
            <a:xfrm>
              <a:off x="9834563" y="3357562"/>
              <a:ext cx="3333750" cy="1371600"/>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twoCellAnchor editAs="oneCell">
    <xdr:from>
      <xdr:col>21</xdr:col>
      <xdr:colOff>583407</xdr:colOff>
      <xdr:row>17</xdr:row>
      <xdr:rowOff>107157</xdr:rowOff>
    </xdr:from>
    <xdr:to>
      <xdr:col>24</xdr:col>
      <xdr:colOff>590551</xdr:colOff>
      <xdr:row>26</xdr:row>
      <xdr:rowOff>135732</xdr:rowOff>
    </xdr:to>
    <mc:AlternateContent xmlns:mc="http://schemas.openxmlformats.org/markup-compatibility/2006" xmlns:a14="http://schemas.microsoft.com/office/drawing/2010/main">
      <mc:Choice Requires="a14">
        <xdr:graphicFrame macro="">
          <xdr:nvGraphicFramePr>
            <xdr:cNvPr id="9" name="Region 1">
              <a:extLst>
                <a:ext uri="{FF2B5EF4-FFF2-40B4-BE49-F238E27FC236}">
                  <a16:creationId xmlns:a16="http://schemas.microsoft.com/office/drawing/2014/main" id="{0B8676BA-D9AC-47B3-94A5-391C7F674E34}"/>
                </a:ext>
              </a:extLst>
            </xdr:cNvPr>
            <xdr:cNvGraphicFramePr/>
          </xdr:nvGraphicFramePr>
          <xdr:xfrm>
            <a:off x="0" y="0"/>
            <a:ext cx="0" cy="0"/>
          </xdr:xfrm>
          <a:graphic>
            <a:graphicData uri="http://schemas.microsoft.com/office/drawing/2010/slicer">
              <sle:slicer xmlns:sle="http://schemas.microsoft.com/office/drawing/2010/slicer" name="Region 1"/>
            </a:graphicData>
          </a:graphic>
        </xdr:graphicFrame>
      </mc:Choice>
      <mc:Fallback xmlns="">
        <xdr:sp macro="" textlink="">
          <xdr:nvSpPr>
            <xdr:cNvPr id="0" name=""/>
            <xdr:cNvSpPr>
              <a:spLocks noTextEdit="1"/>
            </xdr:cNvSpPr>
          </xdr:nvSpPr>
          <xdr:spPr>
            <a:xfrm>
              <a:off x="13335001" y="3345657"/>
              <a:ext cx="1828800" cy="17430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16</xdr:col>
      <xdr:colOff>0</xdr:colOff>
      <xdr:row>26</xdr:row>
      <xdr:rowOff>0</xdr:rowOff>
    </xdr:from>
    <xdr:to>
      <xdr:col>19</xdr:col>
      <xdr:colOff>7144</xdr:colOff>
      <xdr:row>35</xdr:row>
      <xdr:rowOff>0</xdr:rowOff>
    </xdr:to>
    <mc:AlternateContent xmlns:mc="http://schemas.openxmlformats.org/markup-compatibility/2006" xmlns:a14="http://schemas.microsoft.com/office/drawing/2010/main">
      <mc:Choice Requires="a14">
        <xdr:graphicFrame macro="">
          <xdr:nvGraphicFramePr>
            <xdr:cNvPr id="10" name="Product 1">
              <a:extLst>
                <a:ext uri="{FF2B5EF4-FFF2-40B4-BE49-F238E27FC236}">
                  <a16:creationId xmlns:a16="http://schemas.microsoft.com/office/drawing/2014/main" id="{9BF31DB1-173F-4AA2-AD7D-8C148C10EE49}"/>
                </a:ext>
              </a:extLst>
            </xdr:cNvPr>
            <xdr:cNvGraphicFramePr/>
          </xdr:nvGraphicFramePr>
          <xdr:xfrm>
            <a:off x="0" y="0"/>
            <a:ext cx="0" cy="0"/>
          </xdr:xfrm>
          <a:graphic>
            <a:graphicData uri="http://schemas.microsoft.com/office/drawing/2010/slicer">
              <sle:slicer xmlns:sle="http://schemas.microsoft.com/office/drawing/2010/slicer" name="Product 1"/>
            </a:graphicData>
          </a:graphic>
        </xdr:graphicFrame>
      </mc:Choice>
      <mc:Fallback xmlns="">
        <xdr:sp macro="" textlink="">
          <xdr:nvSpPr>
            <xdr:cNvPr id="0" name=""/>
            <xdr:cNvSpPr>
              <a:spLocks noTextEdit="1"/>
            </xdr:cNvSpPr>
          </xdr:nvSpPr>
          <xdr:spPr>
            <a:xfrm>
              <a:off x="9715500" y="4953000"/>
              <a:ext cx="1828800" cy="17145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20</xdr:col>
      <xdr:colOff>0</xdr:colOff>
      <xdr:row>27</xdr:row>
      <xdr:rowOff>0</xdr:rowOff>
    </xdr:from>
    <xdr:to>
      <xdr:col>23</xdr:col>
      <xdr:colOff>7144</xdr:colOff>
      <xdr:row>34</xdr:row>
      <xdr:rowOff>76200</xdr:rowOff>
    </xdr:to>
    <mc:AlternateContent xmlns:mc="http://schemas.openxmlformats.org/markup-compatibility/2006" xmlns:a14="http://schemas.microsoft.com/office/drawing/2010/main">
      <mc:Choice Requires="a14">
        <xdr:graphicFrame macro="">
          <xdr:nvGraphicFramePr>
            <xdr:cNvPr id="11" name="Payment_Mode 1">
              <a:extLst>
                <a:ext uri="{FF2B5EF4-FFF2-40B4-BE49-F238E27FC236}">
                  <a16:creationId xmlns:a16="http://schemas.microsoft.com/office/drawing/2014/main" id="{69079561-3DDF-44C7-92A1-46092D917AD4}"/>
                </a:ext>
              </a:extLst>
            </xdr:cNvPr>
            <xdr:cNvGraphicFramePr/>
          </xdr:nvGraphicFramePr>
          <xdr:xfrm>
            <a:off x="0" y="0"/>
            <a:ext cx="0" cy="0"/>
          </xdr:xfrm>
          <a:graphic>
            <a:graphicData uri="http://schemas.microsoft.com/office/drawing/2010/slicer">
              <sle:slicer xmlns:sle="http://schemas.microsoft.com/office/drawing/2010/slicer" name="Payment_Mode 1"/>
            </a:graphicData>
          </a:graphic>
        </xdr:graphicFrame>
      </mc:Choice>
      <mc:Fallback xmlns="">
        <xdr:sp macro="" textlink="">
          <xdr:nvSpPr>
            <xdr:cNvPr id="0" name=""/>
            <xdr:cNvSpPr>
              <a:spLocks noTextEdit="1"/>
            </xdr:cNvSpPr>
          </xdr:nvSpPr>
          <xdr:spPr>
            <a:xfrm>
              <a:off x="12144375" y="5143500"/>
              <a:ext cx="1828800" cy="14097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23</xdr:col>
      <xdr:colOff>0</xdr:colOff>
      <xdr:row>13</xdr:row>
      <xdr:rowOff>0</xdr:rowOff>
    </xdr:from>
    <xdr:to>
      <xdr:col>26</xdr:col>
      <xdr:colOff>7143</xdr:colOff>
      <xdr:row>17</xdr:row>
      <xdr:rowOff>142875</xdr:rowOff>
    </xdr:to>
    <mc:AlternateContent xmlns:mc="http://schemas.openxmlformats.org/markup-compatibility/2006" xmlns:a14="http://schemas.microsoft.com/office/drawing/2010/main">
      <mc:Choice Requires="a14">
        <xdr:graphicFrame macro="">
          <xdr:nvGraphicFramePr>
            <xdr:cNvPr id="12" name="Category 1">
              <a:extLst>
                <a:ext uri="{FF2B5EF4-FFF2-40B4-BE49-F238E27FC236}">
                  <a16:creationId xmlns:a16="http://schemas.microsoft.com/office/drawing/2014/main" id="{E21494DF-45A6-40D0-BA98-1A6041D91A9A}"/>
                </a:ext>
              </a:extLst>
            </xdr:cNvPr>
            <xdr:cNvGraphicFramePr/>
          </xdr:nvGraphicFramePr>
          <xdr:xfrm>
            <a:off x="0" y="0"/>
            <a:ext cx="0" cy="0"/>
          </xdr:xfrm>
          <a:graphic>
            <a:graphicData uri="http://schemas.microsoft.com/office/drawing/2010/slicer">
              <sle:slicer xmlns:sle="http://schemas.microsoft.com/office/drawing/2010/slicer" name="Category 1"/>
            </a:graphicData>
          </a:graphic>
        </xdr:graphicFrame>
      </mc:Choice>
      <mc:Fallback xmlns="">
        <xdr:sp macro="" textlink="">
          <xdr:nvSpPr>
            <xdr:cNvPr id="0" name=""/>
            <xdr:cNvSpPr>
              <a:spLocks noTextEdit="1"/>
            </xdr:cNvSpPr>
          </xdr:nvSpPr>
          <xdr:spPr>
            <a:xfrm>
              <a:off x="13966031" y="2476500"/>
              <a:ext cx="1828800" cy="9048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0</xdr:col>
      <xdr:colOff>21981</xdr:colOff>
      <xdr:row>0</xdr:row>
      <xdr:rowOff>0</xdr:rowOff>
    </xdr:from>
    <xdr:to>
      <xdr:col>16</xdr:col>
      <xdr:colOff>431556</xdr:colOff>
      <xdr:row>47</xdr:row>
      <xdr:rowOff>122464</xdr:rowOff>
    </xdr:to>
    <xdr:sp macro="" textlink="">
      <xdr:nvSpPr>
        <xdr:cNvPr id="2" name="Rectangle: Rounded Corners 1">
          <a:extLst>
            <a:ext uri="{FF2B5EF4-FFF2-40B4-BE49-F238E27FC236}">
              <a16:creationId xmlns:a16="http://schemas.microsoft.com/office/drawing/2014/main" id="{F43B7692-5182-0BE7-7D78-5D1867BCA0E3}"/>
            </a:ext>
          </a:extLst>
        </xdr:cNvPr>
        <xdr:cNvSpPr/>
      </xdr:nvSpPr>
      <xdr:spPr>
        <a:xfrm>
          <a:off x="21981" y="0"/>
          <a:ext cx="11268075" cy="9075964"/>
        </a:xfrm>
        <a:prstGeom prst="roundRect">
          <a:avLst>
            <a:gd name="adj" fmla="val 0"/>
          </a:avLst>
        </a:prstGeom>
        <a:gradFill>
          <a:gsLst>
            <a:gs pos="0">
              <a:schemeClr val="accent1">
                <a:lumMod val="5000"/>
                <a:lumOff val="95000"/>
              </a:schemeClr>
            </a:gs>
            <a:gs pos="74000">
              <a:schemeClr val="accent1">
                <a:lumMod val="45000"/>
                <a:lumOff val="55000"/>
              </a:schemeClr>
            </a:gs>
            <a:gs pos="36000">
              <a:schemeClr val="accent1">
                <a:lumMod val="45000"/>
                <a:lumOff val="55000"/>
              </a:schemeClr>
            </a:gs>
            <a:gs pos="100000">
              <a:schemeClr val="accent1">
                <a:lumMod val="30000"/>
                <a:lumOff val="70000"/>
              </a:schemeClr>
            </a:gs>
          </a:gsLst>
          <a:lin ang="5400000" scaled="1"/>
        </a:gradFill>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4</xdr:col>
      <xdr:colOff>114300</xdr:colOff>
      <xdr:row>0</xdr:row>
      <xdr:rowOff>47625</xdr:rowOff>
    </xdr:from>
    <xdr:to>
      <xdr:col>10</xdr:col>
      <xdr:colOff>544286</xdr:colOff>
      <xdr:row>2</xdr:row>
      <xdr:rowOff>47625</xdr:rowOff>
    </xdr:to>
    <xdr:sp macro="" textlink="">
      <xdr:nvSpPr>
        <xdr:cNvPr id="3" name="TextBox 2">
          <a:extLst>
            <a:ext uri="{FF2B5EF4-FFF2-40B4-BE49-F238E27FC236}">
              <a16:creationId xmlns:a16="http://schemas.microsoft.com/office/drawing/2014/main" id="{92ED6ACC-DC14-656B-BDF8-E3546172C5B4}"/>
            </a:ext>
          </a:extLst>
        </xdr:cNvPr>
        <xdr:cNvSpPr txBox="1"/>
      </xdr:nvSpPr>
      <xdr:spPr>
        <a:xfrm>
          <a:off x="3624943" y="47625"/>
          <a:ext cx="4103914" cy="3810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2000" b="1"/>
            <a:t>SALES PERFORMANCE DASHBOARD</a:t>
          </a:r>
        </a:p>
      </xdr:txBody>
    </xdr:sp>
    <xdr:clientData/>
  </xdr:twoCellAnchor>
  <xdr:twoCellAnchor>
    <xdr:from>
      <xdr:col>0</xdr:col>
      <xdr:colOff>114300</xdr:colOff>
      <xdr:row>3</xdr:row>
      <xdr:rowOff>38100</xdr:rowOff>
    </xdr:from>
    <xdr:to>
      <xdr:col>1</xdr:col>
      <xdr:colOff>161925</xdr:colOff>
      <xdr:row>7</xdr:row>
      <xdr:rowOff>123825</xdr:rowOff>
    </xdr:to>
    <xdr:sp macro="" textlink="">
      <xdr:nvSpPr>
        <xdr:cNvPr id="4" name="Rectangle: Rounded Corners 3">
          <a:extLst>
            <a:ext uri="{FF2B5EF4-FFF2-40B4-BE49-F238E27FC236}">
              <a16:creationId xmlns:a16="http://schemas.microsoft.com/office/drawing/2014/main" id="{C5ED1C6B-0D2C-AAB2-F952-40EA76EE0C21}"/>
            </a:ext>
          </a:extLst>
        </xdr:cNvPr>
        <xdr:cNvSpPr/>
      </xdr:nvSpPr>
      <xdr:spPr>
        <a:xfrm>
          <a:off x="114300" y="609600"/>
          <a:ext cx="1724025" cy="847725"/>
        </a:xfrm>
        <a:prstGeom prst="roundRect">
          <a:avLst/>
        </a:prstGeom>
        <a:pattFill prst="pct60">
          <a:fgClr>
            <a:schemeClr val="accent5">
              <a:lumMod val="60000"/>
              <a:lumOff val="40000"/>
            </a:schemeClr>
          </a:fgClr>
          <a:bgClr>
            <a:schemeClr val="bg1"/>
          </a:bgClr>
        </a:pattFill>
        <a:ln>
          <a:solidFill>
            <a:schemeClr val="accent5">
              <a:lumMod val="75000"/>
            </a:schemeClr>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ctr"/>
          <a:r>
            <a:rPr lang="en-IN" sz="1400"/>
            <a:t>Total Sales</a:t>
          </a:r>
        </a:p>
      </xdr:txBody>
    </xdr:sp>
    <xdr:clientData/>
  </xdr:twoCellAnchor>
  <xdr:twoCellAnchor>
    <xdr:from>
      <xdr:col>1</xdr:col>
      <xdr:colOff>276225</xdr:colOff>
      <xdr:row>3</xdr:row>
      <xdr:rowOff>38100</xdr:rowOff>
    </xdr:from>
    <xdr:to>
      <xdr:col>4</xdr:col>
      <xdr:colOff>171450</xdr:colOff>
      <xdr:row>7</xdr:row>
      <xdr:rowOff>123825</xdr:rowOff>
    </xdr:to>
    <xdr:sp macro="" textlink="">
      <xdr:nvSpPr>
        <xdr:cNvPr id="5" name="Rectangle: Rounded Corners 4">
          <a:extLst>
            <a:ext uri="{FF2B5EF4-FFF2-40B4-BE49-F238E27FC236}">
              <a16:creationId xmlns:a16="http://schemas.microsoft.com/office/drawing/2014/main" id="{A12D272D-3DD3-4902-B5A2-0E27FFFA9F44}"/>
            </a:ext>
          </a:extLst>
        </xdr:cNvPr>
        <xdr:cNvSpPr/>
      </xdr:nvSpPr>
      <xdr:spPr>
        <a:xfrm>
          <a:off x="1952625" y="609600"/>
          <a:ext cx="1724025" cy="847725"/>
        </a:xfrm>
        <a:prstGeom prst="roundRect">
          <a:avLst/>
        </a:prstGeom>
        <a:pattFill prst="pct60">
          <a:fgClr>
            <a:schemeClr val="accent5">
              <a:lumMod val="60000"/>
              <a:lumOff val="40000"/>
            </a:schemeClr>
          </a:fgClr>
          <a:bgClr>
            <a:schemeClr val="bg1"/>
          </a:bgClr>
        </a:pattFill>
        <a:ln>
          <a:solidFill>
            <a:schemeClr val="accent5">
              <a:lumMod val="75000"/>
            </a:schemeClr>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ctr"/>
          <a:r>
            <a:rPr lang="en-IN" sz="1400"/>
            <a:t>Total Cost</a:t>
          </a:r>
        </a:p>
      </xdr:txBody>
    </xdr:sp>
    <xdr:clientData/>
  </xdr:twoCellAnchor>
  <xdr:twoCellAnchor>
    <xdr:from>
      <xdr:col>4</xdr:col>
      <xdr:colOff>295275</xdr:colOff>
      <xdr:row>3</xdr:row>
      <xdr:rowOff>38100</xdr:rowOff>
    </xdr:from>
    <xdr:to>
      <xdr:col>7</xdr:col>
      <xdr:colOff>190500</xdr:colOff>
      <xdr:row>7</xdr:row>
      <xdr:rowOff>123825</xdr:rowOff>
    </xdr:to>
    <xdr:sp macro="" textlink="">
      <xdr:nvSpPr>
        <xdr:cNvPr id="6" name="Rectangle: Rounded Corners 5">
          <a:extLst>
            <a:ext uri="{FF2B5EF4-FFF2-40B4-BE49-F238E27FC236}">
              <a16:creationId xmlns:a16="http://schemas.microsoft.com/office/drawing/2014/main" id="{036C7ADF-DF66-41A6-8F86-A831213298DA}"/>
            </a:ext>
          </a:extLst>
        </xdr:cNvPr>
        <xdr:cNvSpPr/>
      </xdr:nvSpPr>
      <xdr:spPr>
        <a:xfrm>
          <a:off x="3800475" y="609600"/>
          <a:ext cx="1724025" cy="847725"/>
        </a:xfrm>
        <a:prstGeom prst="roundRect">
          <a:avLst/>
        </a:prstGeom>
        <a:pattFill prst="pct60">
          <a:fgClr>
            <a:schemeClr val="accent5">
              <a:lumMod val="60000"/>
              <a:lumOff val="40000"/>
            </a:schemeClr>
          </a:fgClr>
          <a:bgClr>
            <a:schemeClr val="bg1"/>
          </a:bgClr>
        </a:pattFill>
        <a:ln>
          <a:solidFill>
            <a:schemeClr val="accent5">
              <a:lumMod val="75000"/>
            </a:schemeClr>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ctr"/>
          <a:r>
            <a:rPr lang="en-IN" sz="1400"/>
            <a:t>Total Profit</a:t>
          </a:r>
        </a:p>
      </xdr:txBody>
    </xdr:sp>
    <xdr:clientData/>
  </xdr:twoCellAnchor>
  <xdr:twoCellAnchor>
    <xdr:from>
      <xdr:col>7</xdr:col>
      <xdr:colOff>314325</xdr:colOff>
      <xdr:row>3</xdr:row>
      <xdr:rowOff>38100</xdr:rowOff>
    </xdr:from>
    <xdr:to>
      <xdr:col>10</xdr:col>
      <xdr:colOff>209550</xdr:colOff>
      <xdr:row>7</xdr:row>
      <xdr:rowOff>123825</xdr:rowOff>
    </xdr:to>
    <xdr:sp macro="" textlink="">
      <xdr:nvSpPr>
        <xdr:cNvPr id="7" name="Rectangle: Rounded Corners 6">
          <a:extLst>
            <a:ext uri="{FF2B5EF4-FFF2-40B4-BE49-F238E27FC236}">
              <a16:creationId xmlns:a16="http://schemas.microsoft.com/office/drawing/2014/main" id="{3DDE0210-E596-4FE9-BAA4-BCD32904D57B}"/>
            </a:ext>
          </a:extLst>
        </xdr:cNvPr>
        <xdr:cNvSpPr/>
      </xdr:nvSpPr>
      <xdr:spPr>
        <a:xfrm>
          <a:off x="5648325" y="609600"/>
          <a:ext cx="1724025" cy="847725"/>
        </a:xfrm>
        <a:prstGeom prst="roundRect">
          <a:avLst/>
        </a:prstGeom>
        <a:pattFill prst="pct60">
          <a:fgClr>
            <a:schemeClr val="accent5">
              <a:lumMod val="60000"/>
              <a:lumOff val="40000"/>
            </a:schemeClr>
          </a:fgClr>
          <a:bgClr>
            <a:schemeClr val="bg1"/>
          </a:bgClr>
        </a:pattFill>
        <a:ln>
          <a:solidFill>
            <a:schemeClr val="accent5">
              <a:lumMod val="75000"/>
            </a:schemeClr>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ctr"/>
          <a:r>
            <a:rPr lang="en-IN" sz="1400"/>
            <a:t>Total Orders</a:t>
          </a:r>
        </a:p>
      </xdr:txBody>
    </xdr:sp>
    <xdr:clientData/>
  </xdr:twoCellAnchor>
  <xdr:twoCellAnchor>
    <xdr:from>
      <xdr:col>10</xdr:col>
      <xdr:colOff>333375</xdr:colOff>
      <xdr:row>3</xdr:row>
      <xdr:rowOff>28575</xdr:rowOff>
    </xdr:from>
    <xdr:to>
      <xdr:col>13</xdr:col>
      <xdr:colOff>228600</xdr:colOff>
      <xdr:row>7</xdr:row>
      <xdr:rowOff>114300</xdr:rowOff>
    </xdr:to>
    <xdr:sp macro="" textlink="">
      <xdr:nvSpPr>
        <xdr:cNvPr id="8" name="Rectangle: Rounded Corners 7">
          <a:extLst>
            <a:ext uri="{FF2B5EF4-FFF2-40B4-BE49-F238E27FC236}">
              <a16:creationId xmlns:a16="http://schemas.microsoft.com/office/drawing/2014/main" id="{E11B607C-F3B3-44E3-B6D3-E07A852B0D3B}"/>
            </a:ext>
          </a:extLst>
        </xdr:cNvPr>
        <xdr:cNvSpPr/>
      </xdr:nvSpPr>
      <xdr:spPr>
        <a:xfrm>
          <a:off x="7496175" y="600075"/>
          <a:ext cx="1724025" cy="847725"/>
        </a:xfrm>
        <a:prstGeom prst="roundRect">
          <a:avLst/>
        </a:prstGeom>
        <a:pattFill prst="pct60">
          <a:fgClr>
            <a:schemeClr val="accent5">
              <a:lumMod val="60000"/>
              <a:lumOff val="40000"/>
            </a:schemeClr>
          </a:fgClr>
          <a:bgClr>
            <a:schemeClr val="bg1"/>
          </a:bgClr>
        </a:pattFill>
        <a:ln>
          <a:solidFill>
            <a:schemeClr val="accent5">
              <a:lumMod val="75000"/>
            </a:schemeClr>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ctr"/>
          <a:r>
            <a:rPr lang="en-IN" sz="1400"/>
            <a:t>Total Customers</a:t>
          </a:r>
        </a:p>
      </xdr:txBody>
    </xdr:sp>
    <xdr:clientData/>
  </xdr:twoCellAnchor>
  <xdr:twoCellAnchor>
    <xdr:from>
      <xdr:col>13</xdr:col>
      <xdr:colOff>371475</xdr:colOff>
      <xdr:row>3</xdr:row>
      <xdr:rowOff>19050</xdr:rowOff>
    </xdr:from>
    <xdr:to>
      <xdr:col>16</xdr:col>
      <xdr:colOff>266700</xdr:colOff>
      <xdr:row>7</xdr:row>
      <xdr:rowOff>104775</xdr:rowOff>
    </xdr:to>
    <xdr:sp macro="" textlink="">
      <xdr:nvSpPr>
        <xdr:cNvPr id="9" name="Rectangle: Rounded Corners 8">
          <a:extLst>
            <a:ext uri="{FF2B5EF4-FFF2-40B4-BE49-F238E27FC236}">
              <a16:creationId xmlns:a16="http://schemas.microsoft.com/office/drawing/2014/main" id="{130603BC-A3B8-4D9D-81EE-F7469A532D2C}"/>
            </a:ext>
          </a:extLst>
        </xdr:cNvPr>
        <xdr:cNvSpPr/>
      </xdr:nvSpPr>
      <xdr:spPr>
        <a:xfrm>
          <a:off x="9363075" y="590550"/>
          <a:ext cx="1724025" cy="847725"/>
        </a:xfrm>
        <a:prstGeom prst="roundRect">
          <a:avLst/>
        </a:prstGeom>
        <a:pattFill prst="pct60">
          <a:fgClr>
            <a:schemeClr val="accent5">
              <a:lumMod val="60000"/>
              <a:lumOff val="40000"/>
            </a:schemeClr>
          </a:fgClr>
          <a:bgClr>
            <a:schemeClr val="bg1"/>
          </a:bgClr>
        </a:pattFill>
        <a:ln>
          <a:solidFill>
            <a:schemeClr val="accent5">
              <a:lumMod val="75000"/>
            </a:schemeClr>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ctr"/>
          <a:r>
            <a:rPr lang="en-IN" sz="1400"/>
            <a:t>Profit</a:t>
          </a:r>
          <a:r>
            <a:rPr lang="en-IN" sz="1400" baseline="0"/>
            <a:t> Margin</a:t>
          </a:r>
          <a:endParaRPr lang="en-IN" sz="1400"/>
        </a:p>
      </xdr:txBody>
    </xdr:sp>
    <xdr:clientData/>
  </xdr:twoCellAnchor>
  <xdr:twoCellAnchor>
    <xdr:from>
      <xdr:col>0</xdr:col>
      <xdr:colOff>285750</xdr:colOff>
      <xdr:row>4</xdr:row>
      <xdr:rowOff>171450</xdr:rowOff>
    </xdr:from>
    <xdr:to>
      <xdr:col>0</xdr:col>
      <xdr:colOff>1628775</xdr:colOff>
      <xdr:row>6</xdr:row>
      <xdr:rowOff>161925</xdr:rowOff>
    </xdr:to>
    <xdr:sp macro="" textlink="PIVOT!A7">
      <xdr:nvSpPr>
        <xdr:cNvPr id="10" name="TextBox 9">
          <a:extLst>
            <a:ext uri="{FF2B5EF4-FFF2-40B4-BE49-F238E27FC236}">
              <a16:creationId xmlns:a16="http://schemas.microsoft.com/office/drawing/2014/main" id="{0FCF77B9-7288-6B80-8411-354BB245657B}"/>
            </a:ext>
          </a:extLst>
        </xdr:cNvPr>
        <xdr:cNvSpPr txBox="1"/>
      </xdr:nvSpPr>
      <xdr:spPr>
        <a:xfrm>
          <a:off x="285750" y="933450"/>
          <a:ext cx="1343025"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4FD775C6-07B7-4550-98A9-BD16FB18A339}" type="TxLink">
            <a:rPr lang="en-US" sz="1800" b="1" i="0" u="none" strike="noStrike">
              <a:solidFill>
                <a:srgbClr val="000000"/>
              </a:solidFill>
              <a:latin typeface="Calibri"/>
              <a:cs typeface="Calibri"/>
            </a:rPr>
            <a:pPr/>
            <a:t>₹ 26,29,365</a:t>
          </a:fld>
          <a:endParaRPr lang="en-IN" sz="1800" b="1"/>
        </a:p>
      </xdr:txBody>
    </xdr:sp>
    <xdr:clientData/>
  </xdr:twoCellAnchor>
  <xdr:twoCellAnchor>
    <xdr:from>
      <xdr:col>1</xdr:col>
      <xdr:colOff>533400</xdr:colOff>
      <xdr:row>4</xdr:row>
      <xdr:rowOff>171451</xdr:rowOff>
    </xdr:from>
    <xdr:to>
      <xdr:col>4</xdr:col>
      <xdr:colOff>85725</xdr:colOff>
      <xdr:row>6</xdr:row>
      <xdr:rowOff>161925</xdr:rowOff>
    </xdr:to>
    <xdr:sp macro="" textlink="PIVOT!B7">
      <xdr:nvSpPr>
        <xdr:cNvPr id="12" name="TextBox 11">
          <a:extLst>
            <a:ext uri="{FF2B5EF4-FFF2-40B4-BE49-F238E27FC236}">
              <a16:creationId xmlns:a16="http://schemas.microsoft.com/office/drawing/2014/main" id="{F6D20270-4CDD-CA49-B866-802FDA2AF359}"/>
            </a:ext>
          </a:extLst>
        </xdr:cNvPr>
        <xdr:cNvSpPr txBox="1"/>
      </xdr:nvSpPr>
      <xdr:spPr>
        <a:xfrm>
          <a:off x="2209800" y="933451"/>
          <a:ext cx="1381125" cy="37147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3A7A1566-8E6E-4323-A0EE-57DAA88C524E}" type="TxLink">
            <a:rPr lang="en-US" sz="1800" b="1" i="0" u="none" strike="noStrike">
              <a:solidFill>
                <a:srgbClr val="000000"/>
              </a:solidFill>
              <a:latin typeface="Calibri"/>
              <a:cs typeface="Calibri"/>
            </a:rPr>
            <a:pPr/>
            <a:t>₹ 18,49,361</a:t>
          </a:fld>
          <a:endParaRPr lang="en-IN" sz="1800" b="1"/>
        </a:p>
      </xdr:txBody>
    </xdr:sp>
    <xdr:clientData/>
  </xdr:twoCellAnchor>
  <xdr:twoCellAnchor>
    <xdr:from>
      <xdr:col>4</xdr:col>
      <xdr:colOff>554356</xdr:colOff>
      <xdr:row>4</xdr:row>
      <xdr:rowOff>161926</xdr:rowOff>
    </xdr:from>
    <xdr:to>
      <xdr:col>6</xdr:col>
      <xdr:colOff>542925</xdr:colOff>
      <xdr:row>6</xdr:row>
      <xdr:rowOff>161925</xdr:rowOff>
    </xdr:to>
    <xdr:sp macro="" textlink="PIVOT!C7">
      <xdr:nvSpPr>
        <xdr:cNvPr id="13" name="TextBox 12">
          <a:extLst>
            <a:ext uri="{FF2B5EF4-FFF2-40B4-BE49-F238E27FC236}">
              <a16:creationId xmlns:a16="http://schemas.microsoft.com/office/drawing/2014/main" id="{7B4C720D-CFB2-A2B7-067B-7F4C58BD7565}"/>
            </a:ext>
          </a:extLst>
        </xdr:cNvPr>
        <xdr:cNvSpPr txBox="1"/>
      </xdr:nvSpPr>
      <xdr:spPr>
        <a:xfrm>
          <a:off x="4059556" y="923926"/>
          <a:ext cx="1207769" cy="38099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5F7952C2-1D33-4653-BFF1-5877C0AFE9A1}" type="TxLink">
            <a:rPr lang="en-US" sz="1800" b="1" i="0" u="none" strike="noStrike">
              <a:solidFill>
                <a:srgbClr val="000000"/>
              </a:solidFill>
              <a:latin typeface="Calibri"/>
              <a:cs typeface="Calibri"/>
            </a:rPr>
            <a:pPr/>
            <a:t>₹ 7,80,004</a:t>
          </a:fld>
          <a:endParaRPr lang="en-IN" sz="1800" b="1"/>
        </a:p>
      </xdr:txBody>
    </xdr:sp>
    <xdr:clientData/>
  </xdr:twoCellAnchor>
  <xdr:twoCellAnchor>
    <xdr:from>
      <xdr:col>8</xdr:col>
      <xdr:colOff>342900</xdr:colOff>
      <xdr:row>4</xdr:row>
      <xdr:rowOff>171451</xdr:rowOff>
    </xdr:from>
    <xdr:to>
      <xdr:col>9</xdr:col>
      <xdr:colOff>219075</xdr:colOff>
      <xdr:row>6</xdr:row>
      <xdr:rowOff>171451</xdr:rowOff>
    </xdr:to>
    <xdr:sp macro="" textlink="PIVOT!D7">
      <xdr:nvSpPr>
        <xdr:cNvPr id="14" name="TextBox 13">
          <a:extLst>
            <a:ext uri="{FF2B5EF4-FFF2-40B4-BE49-F238E27FC236}">
              <a16:creationId xmlns:a16="http://schemas.microsoft.com/office/drawing/2014/main" id="{35F6DE0C-A445-A128-0882-51081B33CDDD}"/>
            </a:ext>
          </a:extLst>
        </xdr:cNvPr>
        <xdr:cNvSpPr txBox="1"/>
      </xdr:nvSpPr>
      <xdr:spPr>
        <a:xfrm>
          <a:off x="6286500" y="933451"/>
          <a:ext cx="485775" cy="3810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10608B06-E34D-438A-AB38-06338CF5D03A}" type="TxLink">
            <a:rPr lang="en-US" sz="1800" b="1" i="0" u="none" strike="noStrike">
              <a:solidFill>
                <a:srgbClr val="000000"/>
              </a:solidFill>
              <a:latin typeface="Calibri"/>
              <a:cs typeface="Calibri"/>
            </a:rPr>
            <a:pPr/>
            <a:t>80</a:t>
          </a:fld>
          <a:endParaRPr lang="en-IN" sz="1800" b="1"/>
        </a:p>
      </xdr:txBody>
    </xdr:sp>
    <xdr:clientData/>
  </xdr:twoCellAnchor>
  <xdr:twoCellAnchor>
    <xdr:from>
      <xdr:col>11</xdr:col>
      <xdr:colOff>381000</xdr:colOff>
      <xdr:row>4</xdr:row>
      <xdr:rowOff>161925</xdr:rowOff>
    </xdr:from>
    <xdr:to>
      <xdr:col>12</xdr:col>
      <xdr:colOff>228600</xdr:colOff>
      <xdr:row>7</xdr:row>
      <xdr:rowOff>19050</xdr:rowOff>
    </xdr:to>
    <xdr:sp macro="" textlink="PIVOT!E7">
      <xdr:nvSpPr>
        <xdr:cNvPr id="15" name="TextBox 14">
          <a:extLst>
            <a:ext uri="{FF2B5EF4-FFF2-40B4-BE49-F238E27FC236}">
              <a16:creationId xmlns:a16="http://schemas.microsoft.com/office/drawing/2014/main" id="{9BA06A1B-4977-31F2-6382-7F7C03F31505}"/>
            </a:ext>
          </a:extLst>
        </xdr:cNvPr>
        <xdr:cNvSpPr txBox="1"/>
      </xdr:nvSpPr>
      <xdr:spPr>
        <a:xfrm>
          <a:off x="8153400" y="923925"/>
          <a:ext cx="457200" cy="4286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FB18BF4F-8A80-4904-A189-3073EF58BD83}" type="TxLink">
            <a:rPr lang="en-US" sz="1800" b="1" i="0" u="none" strike="noStrike">
              <a:solidFill>
                <a:srgbClr val="000000"/>
              </a:solidFill>
              <a:latin typeface="Calibri"/>
              <a:cs typeface="Calibri"/>
            </a:rPr>
            <a:pPr/>
            <a:t>79</a:t>
          </a:fld>
          <a:endParaRPr lang="en-IN" sz="1800" b="1"/>
        </a:p>
      </xdr:txBody>
    </xdr:sp>
    <xdr:clientData/>
  </xdr:twoCellAnchor>
  <xdr:twoCellAnchor>
    <xdr:from>
      <xdr:col>14</xdr:col>
      <xdr:colOff>314325</xdr:colOff>
      <xdr:row>4</xdr:row>
      <xdr:rowOff>142876</xdr:rowOff>
    </xdr:from>
    <xdr:to>
      <xdr:col>15</xdr:col>
      <xdr:colOff>323850</xdr:colOff>
      <xdr:row>6</xdr:row>
      <xdr:rowOff>133350</xdr:rowOff>
    </xdr:to>
    <xdr:sp macro="" textlink="PIVOT!G7">
      <xdr:nvSpPr>
        <xdr:cNvPr id="16" name="TextBox 15">
          <a:extLst>
            <a:ext uri="{FF2B5EF4-FFF2-40B4-BE49-F238E27FC236}">
              <a16:creationId xmlns:a16="http://schemas.microsoft.com/office/drawing/2014/main" id="{EDFAD945-9A71-4387-31B4-909E7546EBA3}"/>
            </a:ext>
          </a:extLst>
        </xdr:cNvPr>
        <xdr:cNvSpPr txBox="1"/>
      </xdr:nvSpPr>
      <xdr:spPr>
        <a:xfrm>
          <a:off x="9915525" y="904876"/>
          <a:ext cx="619125" cy="37147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57371EA0-F732-4AAB-B33A-586303E360B4}" type="TxLink">
            <a:rPr lang="en-US" sz="1800" b="1" i="0" u="none" strike="noStrike">
              <a:solidFill>
                <a:srgbClr val="000000"/>
              </a:solidFill>
              <a:latin typeface="Calibri"/>
              <a:cs typeface="Calibri"/>
            </a:rPr>
            <a:pPr/>
            <a:t>30%</a:t>
          </a:fld>
          <a:endParaRPr lang="en-IN" sz="1800" b="1"/>
        </a:p>
      </xdr:txBody>
    </xdr:sp>
    <xdr:clientData/>
  </xdr:twoCellAnchor>
  <xdr:twoCellAnchor editAs="oneCell">
    <xdr:from>
      <xdr:col>10</xdr:col>
      <xdr:colOff>388327</xdr:colOff>
      <xdr:row>8</xdr:row>
      <xdr:rowOff>58613</xdr:rowOff>
    </xdr:from>
    <xdr:to>
      <xdr:col>16</xdr:col>
      <xdr:colOff>329710</xdr:colOff>
      <xdr:row>17</xdr:row>
      <xdr:rowOff>151313</xdr:rowOff>
    </xdr:to>
    <mc:AlternateContent xmlns:mc="http://schemas.openxmlformats.org/markup-compatibility/2006" xmlns:tsle="http://schemas.microsoft.com/office/drawing/2012/timeslicer">
      <mc:Choice Requires="tsle">
        <xdr:graphicFrame macro="">
          <xdr:nvGraphicFramePr>
            <xdr:cNvPr id="17" name="Order_Date 2">
              <a:extLst>
                <a:ext uri="{FF2B5EF4-FFF2-40B4-BE49-F238E27FC236}">
                  <a16:creationId xmlns:a16="http://schemas.microsoft.com/office/drawing/2014/main" id="{AAD9089E-9E36-46F3-93E8-C7662BC0E6D4}"/>
                </a:ext>
              </a:extLst>
            </xdr:cNvPr>
            <xdr:cNvGraphicFramePr/>
          </xdr:nvGraphicFramePr>
          <xdr:xfrm>
            <a:off x="0" y="0"/>
            <a:ext cx="0" cy="0"/>
          </xdr:xfrm>
          <a:graphic>
            <a:graphicData uri="http://schemas.microsoft.com/office/drawing/2012/timeslicer">
              <tsle:timeslicer name="Order_Date 2"/>
            </a:graphicData>
          </a:graphic>
        </xdr:graphicFrame>
      </mc:Choice>
      <mc:Fallback xmlns="">
        <xdr:sp macro="" textlink="">
          <xdr:nvSpPr>
            <xdr:cNvPr id="0" name=""/>
            <xdr:cNvSpPr>
              <a:spLocks noTextEdit="1"/>
            </xdr:cNvSpPr>
          </xdr:nvSpPr>
          <xdr:spPr>
            <a:xfrm>
              <a:off x="7572898" y="1582613"/>
              <a:ext cx="3615312" cy="1807200"/>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twoCellAnchor editAs="oneCell">
    <xdr:from>
      <xdr:col>0</xdr:col>
      <xdr:colOff>100377</xdr:colOff>
      <xdr:row>13</xdr:row>
      <xdr:rowOff>32238</xdr:rowOff>
    </xdr:from>
    <xdr:to>
      <xdr:col>4</xdr:col>
      <xdr:colOff>425577</xdr:colOff>
      <xdr:row>17</xdr:row>
      <xdr:rowOff>175113</xdr:rowOff>
    </xdr:to>
    <mc:AlternateContent xmlns:mc="http://schemas.openxmlformats.org/markup-compatibility/2006" xmlns:a14="http://schemas.microsoft.com/office/drawing/2010/main">
      <mc:Choice Requires="a14">
        <xdr:graphicFrame macro="">
          <xdr:nvGraphicFramePr>
            <xdr:cNvPr id="18" name="Category 2">
              <a:extLst>
                <a:ext uri="{FF2B5EF4-FFF2-40B4-BE49-F238E27FC236}">
                  <a16:creationId xmlns:a16="http://schemas.microsoft.com/office/drawing/2014/main" id="{274E1D1C-E7FF-4F4B-B722-25EB8E599862}"/>
                </a:ext>
              </a:extLst>
            </xdr:cNvPr>
            <xdr:cNvGraphicFramePr/>
          </xdr:nvGraphicFramePr>
          <xdr:xfrm>
            <a:off x="0" y="0"/>
            <a:ext cx="0" cy="0"/>
          </xdr:xfrm>
          <a:graphic>
            <a:graphicData uri="http://schemas.microsoft.com/office/drawing/2010/slicer">
              <sle:slicer xmlns:sle="http://schemas.microsoft.com/office/drawing/2010/slicer" name="Category 2"/>
            </a:graphicData>
          </a:graphic>
        </xdr:graphicFrame>
      </mc:Choice>
      <mc:Fallback xmlns="">
        <xdr:sp macro="" textlink="">
          <xdr:nvSpPr>
            <xdr:cNvPr id="0" name=""/>
            <xdr:cNvSpPr>
              <a:spLocks noTextEdit="1"/>
            </xdr:cNvSpPr>
          </xdr:nvSpPr>
          <xdr:spPr>
            <a:xfrm>
              <a:off x="100377" y="2508738"/>
              <a:ext cx="3835843" cy="9048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104773</xdr:colOff>
      <xdr:row>8</xdr:row>
      <xdr:rowOff>76200</xdr:rowOff>
    </xdr:from>
    <xdr:to>
      <xdr:col>4</xdr:col>
      <xdr:colOff>428625</xdr:colOff>
      <xdr:row>13</xdr:row>
      <xdr:rowOff>27300</xdr:rowOff>
    </xdr:to>
    <mc:AlternateContent xmlns:mc="http://schemas.openxmlformats.org/markup-compatibility/2006" xmlns:a14="http://schemas.microsoft.com/office/drawing/2010/main">
      <mc:Choice Requires="a14">
        <xdr:graphicFrame macro="">
          <xdr:nvGraphicFramePr>
            <xdr:cNvPr id="19" name="Product 2">
              <a:extLst>
                <a:ext uri="{FF2B5EF4-FFF2-40B4-BE49-F238E27FC236}">
                  <a16:creationId xmlns:a16="http://schemas.microsoft.com/office/drawing/2014/main" id="{73FCB866-52B3-4A88-B649-2046ABCC991A}"/>
                </a:ext>
              </a:extLst>
            </xdr:cNvPr>
            <xdr:cNvGraphicFramePr/>
          </xdr:nvGraphicFramePr>
          <xdr:xfrm>
            <a:off x="0" y="0"/>
            <a:ext cx="0" cy="0"/>
          </xdr:xfrm>
          <a:graphic>
            <a:graphicData uri="http://schemas.microsoft.com/office/drawing/2010/slicer">
              <sle:slicer xmlns:sle="http://schemas.microsoft.com/office/drawing/2010/slicer" name="Product 2"/>
            </a:graphicData>
          </a:graphic>
        </xdr:graphicFrame>
      </mc:Choice>
      <mc:Fallback xmlns="">
        <xdr:sp macro="" textlink="">
          <xdr:nvSpPr>
            <xdr:cNvPr id="0" name=""/>
            <xdr:cNvSpPr>
              <a:spLocks noTextEdit="1"/>
            </xdr:cNvSpPr>
          </xdr:nvSpPr>
          <xdr:spPr>
            <a:xfrm>
              <a:off x="104773" y="1600200"/>
              <a:ext cx="3834495" cy="9036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4</xdr:col>
      <xdr:colOff>532667</xdr:colOff>
      <xdr:row>13</xdr:row>
      <xdr:rowOff>24911</xdr:rowOff>
    </xdr:from>
    <xdr:to>
      <xdr:col>10</xdr:col>
      <xdr:colOff>294543</xdr:colOff>
      <xdr:row>17</xdr:row>
      <xdr:rowOff>166511</xdr:rowOff>
    </xdr:to>
    <mc:AlternateContent xmlns:mc="http://schemas.openxmlformats.org/markup-compatibility/2006" xmlns:a14="http://schemas.microsoft.com/office/drawing/2010/main">
      <mc:Choice Requires="a14">
        <xdr:graphicFrame macro="">
          <xdr:nvGraphicFramePr>
            <xdr:cNvPr id="20" name="Region 2">
              <a:extLst>
                <a:ext uri="{FF2B5EF4-FFF2-40B4-BE49-F238E27FC236}">
                  <a16:creationId xmlns:a16="http://schemas.microsoft.com/office/drawing/2014/main" id="{1287C42B-B6FC-4B40-B02F-AC14787B4192}"/>
                </a:ext>
              </a:extLst>
            </xdr:cNvPr>
            <xdr:cNvGraphicFramePr/>
          </xdr:nvGraphicFramePr>
          <xdr:xfrm>
            <a:off x="0" y="0"/>
            <a:ext cx="0" cy="0"/>
          </xdr:xfrm>
          <a:graphic>
            <a:graphicData uri="http://schemas.microsoft.com/office/drawing/2010/slicer">
              <sle:slicer xmlns:sle="http://schemas.microsoft.com/office/drawing/2010/slicer" name="Region 2"/>
            </a:graphicData>
          </a:graphic>
        </xdr:graphicFrame>
      </mc:Choice>
      <mc:Fallback xmlns="">
        <xdr:sp macro="" textlink="">
          <xdr:nvSpPr>
            <xdr:cNvPr id="0" name=""/>
            <xdr:cNvSpPr>
              <a:spLocks noTextEdit="1"/>
            </xdr:cNvSpPr>
          </xdr:nvSpPr>
          <xdr:spPr>
            <a:xfrm>
              <a:off x="4043310" y="2501411"/>
              <a:ext cx="3435804" cy="9036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4</xdr:col>
      <xdr:colOff>530468</xdr:colOff>
      <xdr:row>8</xdr:row>
      <xdr:rowOff>66675</xdr:rowOff>
    </xdr:from>
    <xdr:to>
      <xdr:col>10</xdr:col>
      <xdr:colOff>292344</xdr:colOff>
      <xdr:row>13</xdr:row>
      <xdr:rowOff>17775</xdr:rowOff>
    </xdr:to>
    <mc:AlternateContent xmlns:mc="http://schemas.openxmlformats.org/markup-compatibility/2006" xmlns:a14="http://schemas.microsoft.com/office/drawing/2010/main">
      <mc:Choice Requires="a14">
        <xdr:graphicFrame macro="">
          <xdr:nvGraphicFramePr>
            <xdr:cNvPr id="21" name="Payment_Mode 2">
              <a:extLst>
                <a:ext uri="{FF2B5EF4-FFF2-40B4-BE49-F238E27FC236}">
                  <a16:creationId xmlns:a16="http://schemas.microsoft.com/office/drawing/2014/main" id="{6474CD76-0E4B-4522-B25B-0DE62089CF5A}"/>
                </a:ext>
              </a:extLst>
            </xdr:cNvPr>
            <xdr:cNvGraphicFramePr/>
          </xdr:nvGraphicFramePr>
          <xdr:xfrm>
            <a:off x="0" y="0"/>
            <a:ext cx="0" cy="0"/>
          </xdr:xfrm>
          <a:graphic>
            <a:graphicData uri="http://schemas.microsoft.com/office/drawing/2010/slicer">
              <sle:slicer xmlns:sle="http://schemas.microsoft.com/office/drawing/2010/slicer" name="Payment_Mode 2"/>
            </a:graphicData>
          </a:graphic>
        </xdr:graphicFrame>
      </mc:Choice>
      <mc:Fallback xmlns="">
        <xdr:sp macro="" textlink="">
          <xdr:nvSpPr>
            <xdr:cNvPr id="0" name=""/>
            <xdr:cNvSpPr>
              <a:spLocks noTextEdit="1"/>
            </xdr:cNvSpPr>
          </xdr:nvSpPr>
          <xdr:spPr>
            <a:xfrm>
              <a:off x="4041111" y="1590675"/>
              <a:ext cx="3435804" cy="9036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104774</xdr:colOff>
      <xdr:row>18</xdr:row>
      <xdr:rowOff>19050</xdr:rowOff>
    </xdr:from>
    <xdr:to>
      <xdr:col>7</xdr:col>
      <xdr:colOff>266699</xdr:colOff>
      <xdr:row>32</xdr:row>
      <xdr:rowOff>95250</xdr:rowOff>
    </xdr:to>
    <xdr:graphicFrame macro="">
      <xdr:nvGraphicFramePr>
        <xdr:cNvPr id="22" name="Chart 21">
          <a:extLst>
            <a:ext uri="{FF2B5EF4-FFF2-40B4-BE49-F238E27FC236}">
              <a16:creationId xmlns:a16="http://schemas.microsoft.com/office/drawing/2014/main" id="{FE5A0B09-9A0D-4928-81F1-33B7406F512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xdr:col>
      <xdr:colOff>323850</xdr:colOff>
      <xdr:row>18</xdr:row>
      <xdr:rowOff>9525</xdr:rowOff>
    </xdr:from>
    <xdr:to>
      <xdr:col>16</xdr:col>
      <xdr:colOff>361950</xdr:colOff>
      <xdr:row>32</xdr:row>
      <xdr:rowOff>85725</xdr:rowOff>
    </xdr:to>
    <xdr:graphicFrame macro="">
      <xdr:nvGraphicFramePr>
        <xdr:cNvPr id="23" name="Chart 22">
          <a:extLst>
            <a:ext uri="{FF2B5EF4-FFF2-40B4-BE49-F238E27FC236}">
              <a16:creationId xmlns:a16="http://schemas.microsoft.com/office/drawing/2014/main" id="{387320F0-0054-4CF8-85FB-551CD29A9AD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104776</xdr:colOff>
      <xdr:row>32</xdr:row>
      <xdr:rowOff>142875</xdr:rowOff>
    </xdr:from>
    <xdr:to>
      <xdr:col>4</xdr:col>
      <xdr:colOff>219076</xdr:colOff>
      <xdr:row>47</xdr:row>
      <xdr:rowOff>28575</xdr:rowOff>
    </xdr:to>
    <xdr:graphicFrame macro="">
      <xdr:nvGraphicFramePr>
        <xdr:cNvPr id="24" name="Chart 23">
          <a:extLst>
            <a:ext uri="{FF2B5EF4-FFF2-40B4-BE49-F238E27FC236}">
              <a16:creationId xmlns:a16="http://schemas.microsoft.com/office/drawing/2014/main" id="{A3F83620-1864-4C9A-96BF-B9FDEEC1D59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4</xdr:col>
      <xdr:colOff>266700</xdr:colOff>
      <xdr:row>32</xdr:row>
      <xdr:rowOff>142875</xdr:rowOff>
    </xdr:from>
    <xdr:to>
      <xdr:col>10</xdr:col>
      <xdr:colOff>571500</xdr:colOff>
      <xdr:row>47</xdr:row>
      <xdr:rowOff>28575</xdr:rowOff>
    </xdr:to>
    <xdr:graphicFrame macro="">
      <xdr:nvGraphicFramePr>
        <xdr:cNvPr id="25" name="Chart 24">
          <a:extLst>
            <a:ext uri="{FF2B5EF4-FFF2-40B4-BE49-F238E27FC236}">
              <a16:creationId xmlns:a16="http://schemas.microsoft.com/office/drawing/2014/main" id="{6C6A4BF7-0929-4AB2-AD02-A02D9BAF05B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11</xdr:col>
      <xdr:colOff>9525</xdr:colOff>
      <xdr:row>32</xdr:row>
      <xdr:rowOff>142875</xdr:rowOff>
    </xdr:from>
    <xdr:to>
      <xdr:col>16</xdr:col>
      <xdr:colOff>361950</xdr:colOff>
      <xdr:row>47</xdr:row>
      <xdr:rowOff>28575</xdr:rowOff>
    </xdr:to>
    <xdr:graphicFrame macro="">
      <xdr:nvGraphicFramePr>
        <xdr:cNvPr id="26" name="Chart 25">
          <a:extLst>
            <a:ext uri="{FF2B5EF4-FFF2-40B4-BE49-F238E27FC236}">
              <a16:creationId xmlns:a16="http://schemas.microsoft.com/office/drawing/2014/main" id="{4078BD20-A8AE-403D-BD77-E8FACD80E7F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6288.406596412038" backgroundQuery="1" createdVersion="8" refreshedVersion="8" minRefreshableVersion="3" recordCount="0" supportSubquery="1" supportAdvancedDrill="1" xr:uid="{2DFE0538-EF5A-4098-9306-98DC4E42DF39}">
  <cacheSource type="external" connectionId="1"/>
  <cacheFields count="2">
    <cacheField name="[Range].[Product].[Product]" caption="Product" numFmtId="0" hierarchy="3" level="1">
      <sharedItems count="5">
        <s v="Headset"/>
        <s v="Keyboard"/>
        <s v="Laptop"/>
        <s v="Monitor"/>
        <s v="Mouse"/>
      </sharedItems>
    </cacheField>
    <cacheField name="[Measures].[Sum of Profit]" caption="Sum of Profit" numFmtId="0" hierarchy="20" level="32767"/>
  </cacheFields>
  <cacheHierarchies count="25">
    <cacheHierarchy uniqueName="[Range].[Order_ID]" caption="Order_ID" attribute="1" defaultMemberUniqueName="[Range].[Order_ID].[All]" allUniqueName="[Range].[Order_ID].[All]" dimensionUniqueName="[Range]" displayFolder="" count="2" memberValueDatatype="130" unbalanced="0"/>
    <cacheHierarchy uniqueName="[Range].[Order_Date]" caption="Order_Date" attribute="1" time="1" defaultMemberUniqueName="[Range].[Order_Date].[All]" allUniqueName="[Range].[Order_Date].[All]" dimensionUniqueName="[Range]" displayFolder="" count="2" memberValueDatatype="7" unbalanced="0"/>
    <cacheHierarchy uniqueName="[Range].[Customer]" caption="Customer" attribute="1" defaultMemberUniqueName="[Range].[Customer].[All]" allUniqueName="[Range].[Customer].[All]" dimensionUniqueName="[Range]" displayFolder="" count="2" memberValueDatatype="130" unbalanced="0"/>
    <cacheHierarchy uniqueName="[Range].[Product]" caption="Product" attribute="1" defaultMemberUniqueName="[Range].[Product].[All]" allUniqueName="[Range].[Product].[All]" dimensionUniqueName="[Range]" displayFolder="" count="2" memberValueDatatype="130" unbalanced="0">
      <fieldsUsage count="2">
        <fieldUsage x="-1"/>
        <fieldUsage x="0"/>
      </fieldsUsage>
    </cacheHierarchy>
    <cacheHierarchy uniqueName="[Range].[Category]" caption="Category" attribute="1" defaultMemberUniqueName="[Range].[Category].[All]" allUniqueName="[Range].[Category].[All]" dimensionUniqueName="[Range]" displayFolder="" count="2" memberValueDatatype="130" unbalanced="0"/>
    <cacheHierarchy uniqueName="[Range].[Region]" caption="Region" attribute="1" defaultMemberUniqueName="[Range].[Region].[All]" allUniqueName="[Range].[Region].[All]" dimensionUniqueName="[Range]" displayFolder="" count="2" memberValueDatatype="130" unbalanced="0"/>
    <cacheHierarchy uniqueName="[Range].[Quantity]" caption="Quantity" attribute="1" defaultMemberUniqueName="[Range].[Quantity].[All]" allUniqueName="[Range].[Quantity].[All]" dimensionUniqueName="[Range]" displayFolder="" count="2" memberValueDatatype="20" unbalanced="0"/>
    <cacheHierarchy uniqueName="[Range].[Unit_Price]" caption="Unit_Price" attribute="1" defaultMemberUniqueName="[Range].[Unit_Price].[All]" allUniqueName="[Range].[Unit_Price].[All]" dimensionUniqueName="[Range]" displayFolder="" count="2" memberValueDatatype="20" unbalanced="0"/>
    <cacheHierarchy uniqueName="[Range].[Discount_%]" caption="Discount_%" attribute="1" defaultMemberUniqueName="[Range].[Discount_%].[All]" allUniqueName="[Range].[Discount_%].[All]" dimensionUniqueName="[Range]" displayFolder="" count="2" memberValueDatatype="20" unbalanced="0"/>
    <cacheHierarchy uniqueName="[Range].[Payment_Mode]" caption="Payment_Mode" attribute="1" defaultMemberUniqueName="[Range].[Payment_Mode].[All]" allUniqueName="[Range].[Payment_Mode].[All]" dimensionUniqueName="[Range]" displayFolder="" count="2" memberValueDatatype="130" unbalanced="0"/>
    <cacheHierarchy uniqueName="[Range].[Sales]" caption="Sales" attribute="1" defaultMemberUniqueName="[Range].[Sales].[All]" allUniqueName="[Range].[Sales].[All]" dimensionUniqueName="[Range]" displayFolder="" count="2" memberValueDatatype="5" unbalanced="0"/>
    <cacheHierarchy uniqueName="[Range].[Cost]" caption="Cost" attribute="1" defaultMemberUniqueName="[Range].[Cost].[All]" allUniqueName="[Range].[Cost].[All]" dimensionUniqueName="[Range]" displayFolder="" count="2" memberValueDatatype="5" unbalanced="0"/>
    <cacheHierarchy uniqueName="[Range].[Profit]" caption="Profit" attribute="1" defaultMemberUniqueName="[Range].[Profit].[All]" allUniqueName="[Range].[Profit].[All]" dimensionUniqueName="[Range]" displayFolder="" count="2" memberValueDatatype="5" unbalanced="0"/>
    <cacheHierarchy uniqueName="[Range].[Month]" caption="Month" attribute="1" defaultMemberUniqueName="[Range].[Month].[All]" allUniqueName="[Range].[Month].[All]" dimensionUniqueName="[Range]" displayFolder="" count="2" memberValueDatatype="130" unbalanced="0"/>
    <cacheHierarchy uniqueName="[Range].[Month_No]" caption="Month_No" attribute="1" defaultMemberUniqueName="[Range].[Month_No].[All]" allUniqueName="[Range].[Month_No].[All]" dimensionUniqueName="[Range]" displayFolder="" count="2" memberValueDatatype="20" unbalanced="0"/>
    <cacheHierarchy uniqueName="[Range].[Profit_Margin_%]" caption="Profit_Margin_%" attribute="1" defaultMemberUniqueName="[Range].[Profit_Margin_%].[All]" allUniqueName="[Range].[Profit_Margin_%].[All]" dimensionUniqueName="[Range]" displayFolder="" count="2" memberValueDatatype="5" unbalanced="0"/>
    <cacheHierarchy uniqueName="[Measures].[__XL_Count Range]" caption="__XL_Count Range" measure="1" displayFolder="" measureGroup="Range" count="0" hidden="1"/>
    <cacheHierarchy uniqueName="[Measures].[__No measures defined]" caption="__No measures defined" measure="1" displayFolder="" count="0" hidden="1"/>
    <cacheHierarchy uniqueName="[Measures].[Sum of Sales]" caption="Sum of Sales" measure="1" displayFolder="" measureGroup="Range" count="0" hidden="1">
      <extLst>
        <ext xmlns:x15="http://schemas.microsoft.com/office/spreadsheetml/2010/11/main" uri="{B97F6D7D-B522-45F9-BDA1-12C45D357490}">
          <x15:cacheHierarchy aggregatedColumn="10"/>
        </ext>
      </extLst>
    </cacheHierarchy>
    <cacheHierarchy uniqueName="[Measures].[Sum of Cost]" caption="Sum of Cost" measure="1" displayFolder="" measureGroup="Range" count="0" hidden="1">
      <extLst>
        <ext xmlns:x15="http://schemas.microsoft.com/office/spreadsheetml/2010/11/main" uri="{B97F6D7D-B522-45F9-BDA1-12C45D357490}">
          <x15:cacheHierarchy aggregatedColumn="11"/>
        </ext>
      </extLst>
    </cacheHierarchy>
    <cacheHierarchy uniqueName="[Measures].[Sum of Profit]" caption="Sum of Profit" measure="1" displayFolder="" measureGroup="Range" count="0" oneField="1" hidden="1">
      <fieldsUsage count="1">
        <fieldUsage x="1"/>
      </fieldsUsage>
      <extLst>
        <ext xmlns:x15="http://schemas.microsoft.com/office/spreadsheetml/2010/11/main" uri="{B97F6D7D-B522-45F9-BDA1-12C45D357490}">
          <x15:cacheHierarchy aggregatedColumn="12"/>
        </ext>
      </extLst>
    </cacheHierarchy>
    <cacheHierarchy uniqueName="[Measures].[Sum of Quantity]" caption="Sum of Quantity" measure="1" displayFolder="" measureGroup="Range" count="0" hidden="1">
      <extLst>
        <ext xmlns:x15="http://schemas.microsoft.com/office/spreadsheetml/2010/11/main" uri="{B97F6D7D-B522-45F9-BDA1-12C45D357490}">
          <x15:cacheHierarchy aggregatedColumn="6"/>
        </ext>
      </extLst>
    </cacheHierarchy>
    <cacheHierarchy uniqueName="[Measures].[Count of Order_ID]" caption="Count of Order_ID" measure="1" displayFolder="" measureGroup="Range" count="0" hidden="1">
      <extLst>
        <ext xmlns:x15="http://schemas.microsoft.com/office/spreadsheetml/2010/11/main" uri="{B97F6D7D-B522-45F9-BDA1-12C45D357490}">
          <x15:cacheHierarchy aggregatedColumn="0"/>
        </ext>
      </extLst>
    </cacheHierarchy>
    <cacheHierarchy uniqueName="[Measures].[Count of Customer]" caption="Count of Customer" measure="1" displayFolder="" measureGroup="Range" count="0" hidden="1">
      <extLst>
        <ext xmlns:x15="http://schemas.microsoft.com/office/spreadsheetml/2010/11/main" uri="{B97F6D7D-B522-45F9-BDA1-12C45D357490}">
          <x15:cacheHierarchy aggregatedColumn="2"/>
        </ext>
      </extLst>
    </cacheHierarchy>
    <cacheHierarchy uniqueName="[Measures].[Distinct Count of Customer]" caption="Distinct Count of Customer" measure="1" displayFolder="" measureGroup="Range" count="0" hidden="1">
      <extLst>
        <ext xmlns:x15="http://schemas.microsoft.com/office/spreadsheetml/2010/11/main" uri="{B97F6D7D-B522-45F9-BDA1-12C45D357490}">
          <x15:cacheHierarchy aggregatedColumn="2"/>
        </ext>
      </extLst>
    </cacheHierarchy>
  </cacheHierarchies>
  <kpis count="0"/>
  <dimensions count="2">
    <dimension measure="1" name="Measures" uniqueName="[Measures]" caption="Measures"/>
    <dimension name="Range" uniqueName="[Range]" caption="Range"/>
  </dimensions>
  <measureGroups count="1">
    <measureGroup name="Range" caption="Range"/>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6288.406597569447" backgroundQuery="1" createdVersion="8" refreshedVersion="8" minRefreshableVersion="3" recordCount="0" supportSubquery="1" supportAdvancedDrill="1" xr:uid="{A9576EE8-77A1-47F4-AF23-A2BF4A64CADC}">
  <cacheSource type="external" connectionId="1"/>
  <cacheFields count="5">
    <cacheField name="[Measures].[Sum of Sales]" caption="Sum of Sales" numFmtId="0" hierarchy="18" level="32767"/>
    <cacheField name="[Range].[Month].[Month]" caption="Month" numFmtId="0" hierarchy="13" level="1">
      <sharedItems count="6">
        <s v="Jan"/>
        <s v="Feb"/>
        <s v="Mar"/>
        <s v="Apr"/>
        <s v="May"/>
        <s v="Jun"/>
      </sharedItems>
    </cacheField>
    <cacheField name="[Range].[Month_No].[Month_No]" caption="Month_No" numFmtId="0" hierarchy="14" level="1">
      <sharedItems containsSemiMixedTypes="0" containsString="0" containsNumber="1" containsInteger="1" minValue="1" maxValue="6" count="6">
        <n v="1"/>
        <n v="2"/>
        <n v="3"/>
        <n v="4"/>
        <n v="5"/>
        <n v="6"/>
      </sharedItems>
      <extLst>
        <ext xmlns:x15="http://schemas.microsoft.com/office/spreadsheetml/2010/11/main" uri="{4F2E5C28-24EA-4eb8-9CBF-B6C8F9C3D259}">
          <x15:cachedUniqueNames>
            <x15:cachedUniqueName index="0" name="[Range].[Month_No].&amp;[1]"/>
            <x15:cachedUniqueName index="1" name="[Range].[Month_No].&amp;[2]"/>
            <x15:cachedUniqueName index="2" name="[Range].[Month_No].&amp;[3]"/>
            <x15:cachedUniqueName index="3" name="[Range].[Month_No].&amp;[4]"/>
            <x15:cachedUniqueName index="4" name="[Range].[Month_No].&amp;[5]"/>
            <x15:cachedUniqueName index="5" name="[Range].[Month_No].&amp;[6]"/>
          </x15:cachedUniqueNames>
        </ext>
      </extLst>
    </cacheField>
    <cacheField name="[Range].[Product].[Product]" caption="Product" numFmtId="0" hierarchy="3" level="1">
      <sharedItems containsSemiMixedTypes="0" containsNonDate="0" containsString="0"/>
    </cacheField>
    <cacheField name="Unsupported0" numFmtId="0" hierarchy="25" level="32767">
      <extLst>
        <ext xmlns:x14="http://schemas.microsoft.com/office/spreadsheetml/2009/9/main" uri="{63CAB8AC-B538-458d-9737-405883B0398D}">
          <x14:cacheField ignore="1"/>
        </ext>
      </extLst>
    </cacheField>
  </cacheFields>
  <cacheHierarchies count="26">
    <cacheHierarchy uniqueName="[Range].[Order_ID]" caption="Order_ID" attribute="1" defaultMemberUniqueName="[Range].[Order_ID].[All]" allUniqueName="[Range].[Order_ID].[All]" dimensionUniqueName="[Range]" displayFolder="" count="2" memberValueDatatype="130" unbalanced="0"/>
    <cacheHierarchy uniqueName="[Range].[Order_Date]" caption="Order_Date" attribute="1" time="1" defaultMemberUniqueName="[Range].[Order_Date].[All]" allUniqueName="[Range].[Order_Date].[All]" dimensionUniqueName="[Range]" displayFolder="" count="2" memberValueDatatype="7" unbalanced="0"/>
    <cacheHierarchy uniqueName="[Range].[Customer]" caption="Customer" attribute="1" defaultMemberUniqueName="[Range].[Customer].[All]" allUniqueName="[Range].[Customer].[All]" dimensionUniqueName="[Range]" displayFolder="" count="2" memberValueDatatype="130" unbalanced="0"/>
    <cacheHierarchy uniqueName="[Range].[Product]" caption="Product" attribute="1" defaultMemberUniqueName="[Range].[Product].[All]" allUniqueName="[Range].[Product].[All]" dimensionUniqueName="[Range]" displayFolder="" count="2" memberValueDatatype="130" unbalanced="0">
      <fieldsUsage count="2">
        <fieldUsage x="-1"/>
        <fieldUsage x="3"/>
      </fieldsUsage>
    </cacheHierarchy>
    <cacheHierarchy uniqueName="[Range].[Category]" caption="Category" attribute="1" defaultMemberUniqueName="[Range].[Category].[All]" allUniqueName="[Range].[Category].[All]" dimensionUniqueName="[Range]" displayFolder="" count="2" memberValueDatatype="130" unbalanced="0"/>
    <cacheHierarchy uniqueName="[Range].[Region]" caption="Region" attribute="1" defaultMemberUniqueName="[Range].[Region].[All]" allUniqueName="[Range].[Region].[All]" dimensionUniqueName="[Range]" displayFolder="" count="2" memberValueDatatype="130" unbalanced="0"/>
    <cacheHierarchy uniqueName="[Range].[Quantity]" caption="Quantity" attribute="1" defaultMemberUniqueName="[Range].[Quantity].[All]" allUniqueName="[Range].[Quantity].[All]" dimensionUniqueName="[Range]" displayFolder="" count="2" memberValueDatatype="20" unbalanced="0"/>
    <cacheHierarchy uniqueName="[Range].[Unit_Price]" caption="Unit_Price" attribute="1" defaultMemberUniqueName="[Range].[Unit_Price].[All]" allUniqueName="[Range].[Unit_Price].[All]" dimensionUniqueName="[Range]" displayFolder="" count="2" memberValueDatatype="20" unbalanced="0"/>
    <cacheHierarchy uniqueName="[Range].[Discount_%]" caption="Discount_%" attribute="1" defaultMemberUniqueName="[Range].[Discount_%].[All]" allUniqueName="[Range].[Discount_%].[All]" dimensionUniqueName="[Range]" displayFolder="" count="2" memberValueDatatype="20" unbalanced="0"/>
    <cacheHierarchy uniqueName="[Range].[Payment_Mode]" caption="Payment_Mode" attribute="1" defaultMemberUniqueName="[Range].[Payment_Mode].[All]" allUniqueName="[Range].[Payment_Mode].[All]" dimensionUniqueName="[Range]" displayFolder="" count="2" memberValueDatatype="130" unbalanced="0"/>
    <cacheHierarchy uniqueName="[Range].[Sales]" caption="Sales" attribute="1" defaultMemberUniqueName="[Range].[Sales].[All]" allUniqueName="[Range].[Sales].[All]" dimensionUniqueName="[Range]" displayFolder="" count="2" memberValueDatatype="5" unbalanced="0"/>
    <cacheHierarchy uniqueName="[Range].[Cost]" caption="Cost" attribute="1" defaultMemberUniqueName="[Range].[Cost].[All]" allUniqueName="[Range].[Cost].[All]" dimensionUniqueName="[Range]" displayFolder="" count="2" memberValueDatatype="5" unbalanced="0"/>
    <cacheHierarchy uniqueName="[Range].[Profit]" caption="Profit" attribute="1" defaultMemberUniqueName="[Range].[Profit].[All]" allUniqueName="[Range].[Profit].[All]" dimensionUniqueName="[Range]" displayFolder="" count="2" memberValueDatatype="5" unbalanced="0"/>
    <cacheHierarchy uniqueName="[Range].[Month]" caption="Month" attribute="1" defaultMemberUniqueName="[Range].[Month].[All]" allUniqueName="[Range].[Month].[All]" dimensionUniqueName="[Range]" displayFolder="" count="2" memberValueDatatype="130" unbalanced="0">
      <fieldsUsage count="2">
        <fieldUsage x="-1"/>
        <fieldUsage x="1"/>
      </fieldsUsage>
    </cacheHierarchy>
    <cacheHierarchy uniqueName="[Range].[Month_No]" caption="Month_No" attribute="1" defaultMemberUniqueName="[Range].[Month_No].[All]" allUniqueName="[Range].[Month_No].[All]" dimensionUniqueName="[Range]" displayFolder="" count="2" memberValueDatatype="20" unbalanced="0">
      <fieldsUsage count="2">
        <fieldUsage x="-1"/>
        <fieldUsage x="2"/>
      </fieldsUsage>
    </cacheHierarchy>
    <cacheHierarchy uniqueName="[Range].[Profit_Margin_%]" caption="Profit_Margin_%" attribute="1" defaultMemberUniqueName="[Range].[Profit_Margin_%].[All]" allUniqueName="[Range].[Profit_Margin_%].[All]" dimensionUniqueName="[Range]" displayFolder="" count="2" memberValueDatatype="5" unbalanced="0"/>
    <cacheHierarchy uniqueName="[Measures].[__XL_Count Range]" caption="__XL_Count Range" measure="1" displayFolder="" measureGroup="Range" count="0" hidden="1"/>
    <cacheHierarchy uniqueName="[Measures].[__No measures defined]" caption="__No measures defined" measure="1" displayFolder="" count="0" hidden="1"/>
    <cacheHierarchy uniqueName="[Measures].[Sum of Sales]" caption="Sum of Sales" measure="1" displayFolder="" measureGroup="Range" count="0" oneField="1" hidden="1">
      <fieldsUsage count="1">
        <fieldUsage x="0"/>
      </fieldsUsage>
      <extLst>
        <ext xmlns:x15="http://schemas.microsoft.com/office/spreadsheetml/2010/11/main" uri="{B97F6D7D-B522-45F9-BDA1-12C45D357490}">
          <x15:cacheHierarchy aggregatedColumn="10"/>
        </ext>
      </extLst>
    </cacheHierarchy>
    <cacheHierarchy uniqueName="[Measures].[Sum of Cost]" caption="Sum of Cost" measure="1" displayFolder="" measureGroup="Range" count="0" hidden="1">
      <extLst>
        <ext xmlns:x15="http://schemas.microsoft.com/office/spreadsheetml/2010/11/main" uri="{B97F6D7D-B522-45F9-BDA1-12C45D357490}">
          <x15:cacheHierarchy aggregatedColumn="11"/>
        </ext>
      </extLst>
    </cacheHierarchy>
    <cacheHierarchy uniqueName="[Measures].[Sum of Profit]" caption="Sum of Profit" measure="1" displayFolder="" measureGroup="Range" count="0" hidden="1">
      <extLst>
        <ext xmlns:x15="http://schemas.microsoft.com/office/spreadsheetml/2010/11/main" uri="{B97F6D7D-B522-45F9-BDA1-12C45D357490}">
          <x15:cacheHierarchy aggregatedColumn="12"/>
        </ext>
      </extLst>
    </cacheHierarchy>
    <cacheHierarchy uniqueName="[Measures].[Sum of Quantity]" caption="Sum of Quantity" measure="1" displayFolder="" measureGroup="Range" count="0" hidden="1">
      <extLst>
        <ext xmlns:x15="http://schemas.microsoft.com/office/spreadsheetml/2010/11/main" uri="{B97F6D7D-B522-45F9-BDA1-12C45D357490}">
          <x15:cacheHierarchy aggregatedColumn="6"/>
        </ext>
      </extLst>
    </cacheHierarchy>
    <cacheHierarchy uniqueName="[Measures].[Count of Order_ID]" caption="Count of Order_ID" measure="1" displayFolder="" measureGroup="Range" count="0" hidden="1">
      <extLst>
        <ext xmlns:x15="http://schemas.microsoft.com/office/spreadsheetml/2010/11/main" uri="{B97F6D7D-B522-45F9-BDA1-12C45D357490}">
          <x15:cacheHierarchy aggregatedColumn="0"/>
        </ext>
      </extLst>
    </cacheHierarchy>
    <cacheHierarchy uniqueName="[Measures].[Count of Customer]" caption="Count of Customer" measure="1" displayFolder="" measureGroup="Range" count="0" hidden="1">
      <extLst>
        <ext xmlns:x15="http://schemas.microsoft.com/office/spreadsheetml/2010/11/main" uri="{B97F6D7D-B522-45F9-BDA1-12C45D357490}">
          <x15:cacheHierarchy aggregatedColumn="2"/>
        </ext>
      </extLst>
    </cacheHierarchy>
    <cacheHierarchy uniqueName="[Measures].[Distinct Count of Customer]" caption="Distinct Count of Customer" measure="1" displayFolder="" measureGroup="Range" count="0" hidden="1">
      <extLst>
        <ext xmlns:x15="http://schemas.microsoft.com/office/spreadsheetml/2010/11/main" uri="{B97F6D7D-B522-45F9-BDA1-12C45D357490}">
          <x15:cacheHierarchy aggregatedColumn="2"/>
        </ext>
      </extLst>
    </cacheHierarchy>
    <cacheHierarchy uniqueName="Unsupported0" caption="Order_ID" measure="1" count="0">
      <extLst>
        <ext xmlns:x14="http://schemas.microsoft.com/office/spreadsheetml/2009/9/main" uri="{8CF416AD-EC4C-4aba-99F5-12A058AE0983}">
          <x14:cacheHierarchy ignore="1"/>
        </ext>
      </extLst>
    </cacheHierarchy>
  </cacheHierarchies>
  <kpis count="0"/>
  <dimensions count="2">
    <dimension measure="1" name="Measures" uniqueName="[Measures]" caption="Measures"/>
    <dimension name="Range" uniqueName="[Range]" caption="Range"/>
  </dimensions>
  <measureGroups count="1">
    <measureGroup name="Range" caption="Range"/>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6288.406598726855" backgroundQuery="1" createdVersion="8" refreshedVersion="8" minRefreshableVersion="3" recordCount="0" supportSubquery="1" supportAdvancedDrill="1" xr:uid="{F3F28C31-EF4A-41B6-890D-D7493541D350}">
  <cacheSource type="external" connectionId="1"/>
  <cacheFields count="6">
    <cacheField name="[Measures].[Sum of Sales]" caption="Sum of Sales" numFmtId="0" hierarchy="18" level="32767"/>
    <cacheField name="[Measures].[Sum of Profit]" caption="Sum of Profit" numFmtId="0" hierarchy="20" level="32767"/>
    <cacheField name="[Measures].[Sum of Cost]" caption="Sum of Cost" numFmtId="0" hierarchy="19" level="32767"/>
    <cacheField name="[Range].[Month].[Month]" caption="Month" numFmtId="0" hierarchy="13" level="1">
      <sharedItems count="6">
        <s v="Jan"/>
        <s v="Feb"/>
        <s v="Mar"/>
        <s v="Apr"/>
        <s v="May"/>
        <s v="Jun"/>
      </sharedItems>
    </cacheField>
    <cacheField name="[Range].[Month_No].[Month_No]" caption="Month_No" numFmtId="0" hierarchy="14" level="1">
      <sharedItems containsSemiMixedTypes="0" containsString="0" containsNumber="1" containsInteger="1" minValue="1" maxValue="6" count="6">
        <n v="1"/>
        <n v="2"/>
        <n v="3"/>
        <n v="4"/>
        <n v="5"/>
        <n v="6"/>
      </sharedItems>
      <extLst>
        <ext xmlns:x15="http://schemas.microsoft.com/office/spreadsheetml/2010/11/main" uri="{4F2E5C28-24EA-4eb8-9CBF-B6C8F9C3D259}">
          <x15:cachedUniqueNames>
            <x15:cachedUniqueName index="0" name="[Range].[Month_No].&amp;[1]"/>
            <x15:cachedUniqueName index="1" name="[Range].[Month_No].&amp;[2]"/>
            <x15:cachedUniqueName index="2" name="[Range].[Month_No].&amp;[3]"/>
            <x15:cachedUniqueName index="3" name="[Range].[Month_No].&amp;[4]"/>
            <x15:cachedUniqueName index="4" name="[Range].[Month_No].&amp;[5]"/>
            <x15:cachedUniqueName index="5" name="[Range].[Month_No].&amp;[6]"/>
          </x15:cachedUniqueNames>
        </ext>
      </extLst>
    </cacheField>
    <cacheField name="[Range].[Product].[Product]" caption="Product" numFmtId="0" hierarchy="3" level="1">
      <sharedItems containsSemiMixedTypes="0" containsNonDate="0" containsString="0"/>
    </cacheField>
  </cacheFields>
  <cacheHierarchies count="25">
    <cacheHierarchy uniqueName="[Range].[Order_ID]" caption="Order_ID" attribute="1" defaultMemberUniqueName="[Range].[Order_ID].[All]" allUniqueName="[Range].[Order_ID].[All]" dimensionUniqueName="[Range]" displayFolder="" count="0" memberValueDatatype="130" unbalanced="0"/>
    <cacheHierarchy uniqueName="[Range].[Order_Date]" caption="Order_Date" attribute="1" time="1" defaultMemberUniqueName="[Range].[Order_Date].[All]" allUniqueName="[Range].[Order_Date].[All]" dimensionUniqueName="[Range]" displayFolder="" count="2" memberValueDatatype="7" unbalanced="0"/>
    <cacheHierarchy uniqueName="[Range].[Customer]" caption="Customer" attribute="1" defaultMemberUniqueName="[Range].[Customer].[All]" allUniqueName="[Range].[Customer].[All]" dimensionUniqueName="[Range]" displayFolder="" count="0" memberValueDatatype="130" unbalanced="0"/>
    <cacheHierarchy uniqueName="[Range].[Product]" caption="Product" attribute="1" defaultMemberUniqueName="[Range].[Product].[All]" allUniqueName="[Range].[Product].[All]" dimensionUniqueName="[Range]" displayFolder="" count="2" memberValueDatatype="130" unbalanced="0">
      <fieldsUsage count="2">
        <fieldUsage x="-1"/>
        <fieldUsage x="5"/>
      </fieldsUsage>
    </cacheHierarchy>
    <cacheHierarchy uniqueName="[Range].[Category]" caption="Category" attribute="1" defaultMemberUniqueName="[Range].[Category].[All]" allUniqueName="[Range].[Category].[All]" dimensionUniqueName="[Range]" displayFolder="" count="2" memberValueDatatype="130" unbalanced="0"/>
    <cacheHierarchy uniqueName="[Range].[Region]" caption="Region" attribute="1" defaultMemberUniqueName="[Range].[Region].[All]" allUniqueName="[Range].[Region].[All]" dimensionUniqueName="[Range]" displayFolder="" count="2" memberValueDatatype="130" unbalanced="0"/>
    <cacheHierarchy uniqueName="[Range].[Quantity]" caption="Quantity" attribute="1" defaultMemberUniqueName="[Range].[Quantity].[All]" allUniqueName="[Range].[Quantity].[All]" dimensionUniqueName="[Range]" displayFolder="" count="0" memberValueDatatype="20" unbalanced="0"/>
    <cacheHierarchy uniqueName="[Range].[Unit_Price]" caption="Unit_Price" attribute="1" defaultMemberUniqueName="[Range].[Unit_Price].[All]" allUniqueName="[Range].[Unit_Price].[All]" dimensionUniqueName="[Range]" displayFolder="" count="0" memberValueDatatype="20" unbalanced="0"/>
    <cacheHierarchy uniqueName="[Range].[Discount_%]" caption="Discount_%" attribute="1" defaultMemberUniqueName="[Range].[Discount_%].[All]" allUniqueName="[Range].[Discount_%].[All]" dimensionUniqueName="[Range]" displayFolder="" count="0" memberValueDatatype="20" unbalanced="0"/>
    <cacheHierarchy uniqueName="[Range].[Payment_Mode]" caption="Payment_Mode" attribute="1" defaultMemberUniqueName="[Range].[Payment_Mode].[All]" allUniqueName="[Range].[Payment_Mode].[All]" dimensionUniqueName="[Range]" displayFolder="" count="2" memberValueDatatype="130" unbalanced="0"/>
    <cacheHierarchy uniqueName="[Range].[Sales]" caption="Sales" attribute="1" defaultMemberUniqueName="[Range].[Sales].[All]" allUniqueName="[Range].[Sales].[All]" dimensionUniqueName="[Range]" displayFolder="" count="0" memberValueDatatype="5" unbalanced="0"/>
    <cacheHierarchy uniqueName="[Range].[Cost]" caption="Cost" attribute="1" defaultMemberUniqueName="[Range].[Cost].[All]" allUniqueName="[Range].[Cost].[All]" dimensionUniqueName="[Range]" displayFolder="" count="0" memberValueDatatype="5" unbalanced="0"/>
    <cacheHierarchy uniqueName="[Range].[Profit]" caption="Profit" attribute="1" defaultMemberUniqueName="[Range].[Profit].[All]" allUniqueName="[Range].[Profit].[All]" dimensionUniqueName="[Range]" displayFolder="" count="0" memberValueDatatype="5" unbalanced="0"/>
    <cacheHierarchy uniqueName="[Range].[Month]" caption="Month" attribute="1" defaultMemberUniqueName="[Range].[Month].[All]" allUniqueName="[Range].[Month].[All]" dimensionUniqueName="[Range]" displayFolder="" count="2" memberValueDatatype="130" unbalanced="0">
      <fieldsUsage count="2">
        <fieldUsage x="-1"/>
        <fieldUsage x="3"/>
      </fieldsUsage>
    </cacheHierarchy>
    <cacheHierarchy uniqueName="[Range].[Month_No]" caption="Month_No" attribute="1" defaultMemberUniqueName="[Range].[Month_No].[All]" allUniqueName="[Range].[Month_No].[All]" dimensionUniqueName="[Range]" displayFolder="" count="2" memberValueDatatype="20" unbalanced="0">
      <fieldsUsage count="2">
        <fieldUsage x="-1"/>
        <fieldUsage x="4"/>
      </fieldsUsage>
    </cacheHierarchy>
    <cacheHierarchy uniqueName="[Range].[Profit_Margin_%]" caption="Profit_Margin_%" attribute="1" defaultMemberUniqueName="[Range].[Profit_Margin_%].[All]" allUniqueName="[Range].[Profit_Margin_%].[All]" dimensionUniqueName="[Range]" displayFolder="" count="0" memberValueDatatype="5" unbalanced="0"/>
    <cacheHierarchy uniqueName="[Measures].[__XL_Count Range]" caption="__XL_Count Range" measure="1" displayFolder="" measureGroup="Range" count="0" hidden="1"/>
    <cacheHierarchy uniqueName="[Measures].[__No measures defined]" caption="__No measures defined" measure="1" displayFolder="" count="0" hidden="1"/>
    <cacheHierarchy uniqueName="[Measures].[Sum of Sales]" caption="Sum of Sales" measure="1" displayFolder="" measureGroup="Range" count="0" oneField="1" hidden="1">
      <fieldsUsage count="1">
        <fieldUsage x="0"/>
      </fieldsUsage>
      <extLst>
        <ext xmlns:x15="http://schemas.microsoft.com/office/spreadsheetml/2010/11/main" uri="{B97F6D7D-B522-45F9-BDA1-12C45D357490}">
          <x15:cacheHierarchy aggregatedColumn="10"/>
        </ext>
      </extLst>
    </cacheHierarchy>
    <cacheHierarchy uniqueName="[Measures].[Sum of Cost]" caption="Sum of Cost" measure="1" displayFolder="" measureGroup="Range" count="0" oneField="1" hidden="1">
      <fieldsUsage count="1">
        <fieldUsage x="2"/>
      </fieldsUsage>
      <extLst>
        <ext xmlns:x15="http://schemas.microsoft.com/office/spreadsheetml/2010/11/main" uri="{B97F6D7D-B522-45F9-BDA1-12C45D357490}">
          <x15:cacheHierarchy aggregatedColumn="11"/>
        </ext>
      </extLst>
    </cacheHierarchy>
    <cacheHierarchy uniqueName="[Measures].[Sum of Profit]" caption="Sum of Profit" measure="1" displayFolder="" measureGroup="Range" count="0" oneField="1" hidden="1">
      <fieldsUsage count="1">
        <fieldUsage x="1"/>
      </fieldsUsage>
      <extLst>
        <ext xmlns:x15="http://schemas.microsoft.com/office/spreadsheetml/2010/11/main" uri="{B97F6D7D-B522-45F9-BDA1-12C45D357490}">
          <x15:cacheHierarchy aggregatedColumn="12"/>
        </ext>
      </extLst>
    </cacheHierarchy>
    <cacheHierarchy uniqueName="[Measures].[Sum of Quantity]" caption="Sum of Quantity" measure="1" displayFolder="" measureGroup="Range" count="0" hidden="1">
      <extLst>
        <ext xmlns:x15="http://schemas.microsoft.com/office/spreadsheetml/2010/11/main" uri="{B97F6D7D-B522-45F9-BDA1-12C45D357490}">
          <x15:cacheHierarchy aggregatedColumn="6"/>
        </ext>
      </extLst>
    </cacheHierarchy>
    <cacheHierarchy uniqueName="[Measures].[Count of Order_ID]" caption="Count of Order_ID" measure="1" displayFolder="" measureGroup="Range" count="0" hidden="1">
      <extLst>
        <ext xmlns:x15="http://schemas.microsoft.com/office/spreadsheetml/2010/11/main" uri="{B97F6D7D-B522-45F9-BDA1-12C45D357490}">
          <x15:cacheHierarchy aggregatedColumn="0"/>
        </ext>
      </extLst>
    </cacheHierarchy>
    <cacheHierarchy uniqueName="[Measures].[Count of Customer]" caption="Count of Customer" measure="1" displayFolder="" measureGroup="Range" count="0" hidden="1">
      <extLst>
        <ext xmlns:x15="http://schemas.microsoft.com/office/spreadsheetml/2010/11/main" uri="{B97F6D7D-B522-45F9-BDA1-12C45D357490}">
          <x15:cacheHierarchy aggregatedColumn="2"/>
        </ext>
      </extLst>
    </cacheHierarchy>
    <cacheHierarchy uniqueName="[Measures].[Distinct Count of Customer]" caption="Distinct Count of Customer" measure="1" displayFolder="" measureGroup="Range" count="0" hidden="1">
      <extLst>
        <ext xmlns:x15="http://schemas.microsoft.com/office/spreadsheetml/2010/11/main" uri="{B97F6D7D-B522-45F9-BDA1-12C45D357490}">
          <x15:cacheHierarchy aggregatedColumn="2"/>
        </ext>
      </extLst>
    </cacheHierarchy>
  </cacheHierarchies>
  <kpis count="0"/>
  <dimensions count="2">
    <dimension measure="1" name="Measures" uniqueName="[Measures]" caption="Measures"/>
    <dimension name="Range" uniqueName="[Range]" caption="Range"/>
  </dimensions>
  <measureGroups count="1">
    <measureGroup name="Range" caption="Range"/>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6288.406599305556" backgroundQuery="1" createdVersion="8" refreshedVersion="8" minRefreshableVersion="3" recordCount="0" supportSubquery="1" supportAdvancedDrill="1" xr:uid="{315671CB-E6BA-439A-AEFE-1BE5412B090A}">
  <cacheSource type="external" connectionId="1"/>
  <cacheFields count="5">
    <cacheField name="[Measures].[Sum of Sales]" caption="Sum of Sales" numFmtId="0" hierarchy="18" level="32767"/>
    <cacheField name="[Measures].[Sum of Cost]" caption="Sum of Cost" numFmtId="0" hierarchy="19" level="32767"/>
    <cacheField name="[Measures].[Sum of Profit]" caption="Sum of Profit" numFmtId="0" hierarchy="20" level="32767"/>
    <cacheField name="[Measures].[Count of Order_ID]" caption="Count of Order_ID" numFmtId="0" hierarchy="22" level="32767"/>
    <cacheField name="[Range].[Product].[Product]" caption="Product" numFmtId="0" hierarchy="3" level="1">
      <sharedItems containsSemiMixedTypes="0" containsNonDate="0" containsString="0"/>
    </cacheField>
  </cacheFields>
  <cacheHierarchies count="25">
    <cacheHierarchy uniqueName="[Range].[Order_ID]" caption="Order_ID" attribute="1" defaultMemberUniqueName="[Range].[Order_ID].[All]" allUniqueName="[Range].[Order_ID].[All]" dimensionUniqueName="[Range]" displayFolder="" count="0" memberValueDatatype="130" unbalanced="0"/>
    <cacheHierarchy uniqueName="[Range].[Order_Date]" caption="Order_Date" attribute="1" time="1" defaultMemberUniqueName="[Range].[Order_Date].[All]" allUniqueName="[Range].[Order_Date].[All]" dimensionUniqueName="[Range]" displayFolder="" count="2" memberValueDatatype="7" unbalanced="0"/>
    <cacheHierarchy uniqueName="[Range].[Customer]" caption="Customer" attribute="1" defaultMemberUniqueName="[Range].[Customer].[All]" allUniqueName="[Range].[Customer].[All]" dimensionUniqueName="[Range]" displayFolder="" count="0" memberValueDatatype="130" unbalanced="0"/>
    <cacheHierarchy uniqueName="[Range].[Product]" caption="Product" attribute="1" defaultMemberUniqueName="[Range].[Product].[All]" allUniqueName="[Range].[Product].[All]" dimensionUniqueName="[Range]" displayFolder="" count="2" memberValueDatatype="130" unbalanced="0">
      <fieldsUsage count="2">
        <fieldUsage x="-1"/>
        <fieldUsage x="4"/>
      </fieldsUsage>
    </cacheHierarchy>
    <cacheHierarchy uniqueName="[Range].[Category]" caption="Category" attribute="1" defaultMemberUniqueName="[Range].[Category].[All]" allUniqueName="[Range].[Category].[All]" dimensionUniqueName="[Range]" displayFolder="" count="2" memberValueDatatype="130" unbalanced="0"/>
    <cacheHierarchy uniqueName="[Range].[Region]" caption="Region" attribute="1" defaultMemberUniqueName="[Range].[Region].[All]" allUniqueName="[Range].[Region].[All]" dimensionUniqueName="[Range]" displayFolder="" count="2" memberValueDatatype="130" unbalanced="0"/>
    <cacheHierarchy uniqueName="[Range].[Quantity]" caption="Quantity" attribute="1" defaultMemberUniqueName="[Range].[Quantity].[All]" allUniqueName="[Range].[Quantity].[All]" dimensionUniqueName="[Range]" displayFolder="" count="0" memberValueDatatype="20" unbalanced="0"/>
    <cacheHierarchy uniqueName="[Range].[Unit_Price]" caption="Unit_Price" attribute="1" defaultMemberUniqueName="[Range].[Unit_Price].[All]" allUniqueName="[Range].[Unit_Price].[All]" dimensionUniqueName="[Range]" displayFolder="" count="0" memberValueDatatype="20" unbalanced="0"/>
    <cacheHierarchy uniqueName="[Range].[Discount_%]" caption="Discount_%" attribute="1" defaultMemberUniqueName="[Range].[Discount_%].[All]" allUniqueName="[Range].[Discount_%].[All]" dimensionUniqueName="[Range]" displayFolder="" count="0" memberValueDatatype="20" unbalanced="0"/>
    <cacheHierarchy uniqueName="[Range].[Payment_Mode]" caption="Payment_Mode" attribute="1" defaultMemberUniqueName="[Range].[Payment_Mode].[All]" allUniqueName="[Range].[Payment_Mode].[All]" dimensionUniqueName="[Range]" displayFolder="" count="2" memberValueDatatype="130" unbalanced="0"/>
    <cacheHierarchy uniqueName="[Range].[Sales]" caption="Sales" attribute="1" defaultMemberUniqueName="[Range].[Sales].[All]" allUniqueName="[Range].[Sales].[All]" dimensionUniqueName="[Range]" displayFolder="" count="0" memberValueDatatype="5" unbalanced="0"/>
    <cacheHierarchy uniqueName="[Range].[Cost]" caption="Cost" attribute="1" defaultMemberUniqueName="[Range].[Cost].[All]" allUniqueName="[Range].[Cost].[All]" dimensionUniqueName="[Range]" displayFolder="" count="0" memberValueDatatype="5" unbalanced="0"/>
    <cacheHierarchy uniqueName="[Range].[Profit]" caption="Profit" attribute="1" defaultMemberUniqueName="[Range].[Profit].[All]" allUniqueName="[Range].[Profit].[All]" dimensionUniqueName="[Range]" displayFolder="" count="0" memberValueDatatype="5" unbalanced="0"/>
    <cacheHierarchy uniqueName="[Range].[Month]" caption="Month" attribute="1" defaultMemberUniqueName="[Range].[Month].[All]" allUniqueName="[Range].[Month].[All]" dimensionUniqueName="[Range]" displayFolder="" count="0" memberValueDatatype="130" unbalanced="0"/>
    <cacheHierarchy uniqueName="[Range].[Month_No]" caption="Month_No" attribute="1" defaultMemberUniqueName="[Range].[Month_No].[All]" allUniqueName="[Range].[Month_No].[All]" dimensionUniqueName="[Range]" displayFolder="" count="0" memberValueDatatype="20" unbalanced="0"/>
    <cacheHierarchy uniqueName="[Range].[Profit_Margin_%]" caption="Profit_Margin_%" attribute="1" defaultMemberUniqueName="[Range].[Profit_Margin_%].[All]" allUniqueName="[Range].[Profit_Margin_%].[All]" dimensionUniqueName="[Range]" displayFolder="" count="0" memberValueDatatype="5" unbalanced="0"/>
    <cacheHierarchy uniqueName="[Measures].[__XL_Count Range]" caption="__XL_Count Range" measure="1" displayFolder="" measureGroup="Range" count="0" hidden="1"/>
    <cacheHierarchy uniqueName="[Measures].[__No measures defined]" caption="__No measures defined" measure="1" displayFolder="" count="0" hidden="1"/>
    <cacheHierarchy uniqueName="[Measures].[Sum of Sales]" caption="Sum of Sales" measure="1" displayFolder="" measureGroup="Range" count="0" oneField="1" hidden="1">
      <fieldsUsage count="1">
        <fieldUsage x="0"/>
      </fieldsUsage>
      <extLst>
        <ext xmlns:x15="http://schemas.microsoft.com/office/spreadsheetml/2010/11/main" uri="{B97F6D7D-B522-45F9-BDA1-12C45D357490}">
          <x15:cacheHierarchy aggregatedColumn="10"/>
        </ext>
      </extLst>
    </cacheHierarchy>
    <cacheHierarchy uniqueName="[Measures].[Sum of Cost]" caption="Sum of Cost" measure="1" displayFolder="" measureGroup="Range" count="0" oneField="1" hidden="1">
      <fieldsUsage count="1">
        <fieldUsage x="1"/>
      </fieldsUsage>
      <extLst>
        <ext xmlns:x15="http://schemas.microsoft.com/office/spreadsheetml/2010/11/main" uri="{B97F6D7D-B522-45F9-BDA1-12C45D357490}">
          <x15:cacheHierarchy aggregatedColumn="11"/>
        </ext>
      </extLst>
    </cacheHierarchy>
    <cacheHierarchy uniqueName="[Measures].[Sum of Profit]" caption="Sum of Profit" measure="1" displayFolder="" measureGroup="Range" count="0" oneField="1" hidden="1">
      <fieldsUsage count="1">
        <fieldUsage x="2"/>
      </fieldsUsage>
      <extLst>
        <ext xmlns:x15="http://schemas.microsoft.com/office/spreadsheetml/2010/11/main" uri="{B97F6D7D-B522-45F9-BDA1-12C45D357490}">
          <x15:cacheHierarchy aggregatedColumn="12"/>
        </ext>
      </extLst>
    </cacheHierarchy>
    <cacheHierarchy uniqueName="[Measures].[Sum of Quantity]" caption="Sum of Quantity" measure="1" displayFolder="" measureGroup="Range" count="0" hidden="1">
      <extLst>
        <ext xmlns:x15="http://schemas.microsoft.com/office/spreadsheetml/2010/11/main" uri="{B97F6D7D-B522-45F9-BDA1-12C45D357490}">
          <x15:cacheHierarchy aggregatedColumn="6"/>
        </ext>
      </extLst>
    </cacheHierarchy>
    <cacheHierarchy uniqueName="[Measures].[Count of Order_ID]" caption="Count of Order_ID" measure="1" displayFolder="" measureGroup="Range" count="0" oneField="1" hidden="1">
      <fieldsUsage count="1">
        <fieldUsage x="3"/>
      </fieldsUsage>
      <extLst>
        <ext xmlns:x15="http://schemas.microsoft.com/office/spreadsheetml/2010/11/main" uri="{B97F6D7D-B522-45F9-BDA1-12C45D357490}">
          <x15:cacheHierarchy aggregatedColumn="0"/>
        </ext>
      </extLst>
    </cacheHierarchy>
    <cacheHierarchy uniqueName="[Measures].[Count of Customer]" caption="Count of Customer" measure="1" displayFolder="" measureGroup="Range" count="0" hidden="1">
      <extLst>
        <ext xmlns:x15="http://schemas.microsoft.com/office/spreadsheetml/2010/11/main" uri="{B97F6D7D-B522-45F9-BDA1-12C45D357490}">
          <x15:cacheHierarchy aggregatedColumn="2"/>
        </ext>
      </extLst>
    </cacheHierarchy>
    <cacheHierarchy uniqueName="[Measures].[Distinct Count of Customer]" caption="Distinct Count of Customer" measure="1" displayFolder="" measureGroup="Range" count="0" hidden="1">
      <extLst>
        <ext xmlns:x15="http://schemas.microsoft.com/office/spreadsheetml/2010/11/main" uri="{B97F6D7D-B522-45F9-BDA1-12C45D357490}">
          <x15:cacheHierarchy aggregatedColumn="2"/>
        </ext>
      </extLst>
    </cacheHierarchy>
  </cacheHierarchies>
  <kpis count="0"/>
  <dimensions count="2">
    <dimension measure="1" name="Measures" uniqueName="[Measures]" caption="Measures"/>
    <dimension name="Range" uniqueName="[Range]" caption="Range"/>
  </dimensions>
  <measureGroups count="1">
    <measureGroup name="Range" caption="Range"/>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6288.406599768517" backgroundQuery="1" createdVersion="8" refreshedVersion="8" minRefreshableVersion="3" recordCount="0" supportSubquery="1" supportAdvancedDrill="1" xr:uid="{E75002F7-142D-457C-9CEF-7A5DE39E2396}">
  <cacheSource type="external" connectionId="1"/>
  <cacheFields count="2">
    <cacheField name="[Measures].[Distinct Count of Customer]" caption="Distinct Count of Customer" numFmtId="0" hierarchy="24" level="32767"/>
    <cacheField name="[Range].[Product].[Product]" caption="Product" numFmtId="0" hierarchy="3" level="1">
      <sharedItems containsSemiMixedTypes="0" containsNonDate="0" containsString="0"/>
    </cacheField>
  </cacheFields>
  <cacheHierarchies count="25">
    <cacheHierarchy uniqueName="[Range].[Order_ID]" caption="Order_ID" attribute="1" defaultMemberUniqueName="[Range].[Order_ID].[All]" allUniqueName="[Range].[Order_ID].[All]" dimensionUniqueName="[Range]" displayFolder="" count="0" memberValueDatatype="130" unbalanced="0"/>
    <cacheHierarchy uniqueName="[Range].[Order_Date]" caption="Order_Date" attribute="1" time="1" defaultMemberUniqueName="[Range].[Order_Date].[All]" allUniqueName="[Range].[Order_Date].[All]" dimensionUniqueName="[Range]" displayFolder="" count="2" memberValueDatatype="7" unbalanced="0"/>
    <cacheHierarchy uniqueName="[Range].[Customer]" caption="Customer" attribute="1" defaultMemberUniqueName="[Range].[Customer].[All]" allUniqueName="[Range].[Customer].[All]" dimensionUniqueName="[Range]" displayFolder="" count="0" memberValueDatatype="130" unbalanced="0"/>
    <cacheHierarchy uniqueName="[Range].[Product]" caption="Product" attribute="1" defaultMemberUniqueName="[Range].[Product].[All]" allUniqueName="[Range].[Product].[All]" dimensionUniqueName="[Range]" displayFolder="" count="2" memberValueDatatype="130" unbalanced="0">
      <fieldsUsage count="2">
        <fieldUsage x="-1"/>
        <fieldUsage x="1"/>
      </fieldsUsage>
    </cacheHierarchy>
    <cacheHierarchy uniqueName="[Range].[Category]" caption="Category" attribute="1" defaultMemberUniqueName="[Range].[Category].[All]" allUniqueName="[Range].[Category].[All]" dimensionUniqueName="[Range]" displayFolder="" count="2" memberValueDatatype="130" unbalanced="0"/>
    <cacheHierarchy uniqueName="[Range].[Region]" caption="Region" attribute="1" defaultMemberUniqueName="[Range].[Region].[All]" allUniqueName="[Range].[Region].[All]" dimensionUniqueName="[Range]" displayFolder="" count="2" memberValueDatatype="130" unbalanced="0"/>
    <cacheHierarchy uniqueName="[Range].[Quantity]" caption="Quantity" attribute="1" defaultMemberUniqueName="[Range].[Quantity].[All]" allUniqueName="[Range].[Quantity].[All]" dimensionUniqueName="[Range]" displayFolder="" count="0" memberValueDatatype="20" unbalanced="0"/>
    <cacheHierarchy uniqueName="[Range].[Unit_Price]" caption="Unit_Price" attribute="1" defaultMemberUniqueName="[Range].[Unit_Price].[All]" allUniqueName="[Range].[Unit_Price].[All]" dimensionUniqueName="[Range]" displayFolder="" count="0" memberValueDatatype="20" unbalanced="0"/>
    <cacheHierarchy uniqueName="[Range].[Discount_%]" caption="Discount_%" attribute="1" defaultMemberUniqueName="[Range].[Discount_%].[All]" allUniqueName="[Range].[Discount_%].[All]" dimensionUniqueName="[Range]" displayFolder="" count="0" memberValueDatatype="20" unbalanced="0"/>
    <cacheHierarchy uniqueName="[Range].[Payment_Mode]" caption="Payment_Mode" attribute="1" defaultMemberUniqueName="[Range].[Payment_Mode].[All]" allUniqueName="[Range].[Payment_Mode].[All]" dimensionUniqueName="[Range]" displayFolder="" count="2" memberValueDatatype="130" unbalanced="0"/>
    <cacheHierarchy uniqueName="[Range].[Sales]" caption="Sales" attribute="1" defaultMemberUniqueName="[Range].[Sales].[All]" allUniqueName="[Range].[Sales].[All]" dimensionUniqueName="[Range]" displayFolder="" count="0" memberValueDatatype="5" unbalanced="0"/>
    <cacheHierarchy uniqueName="[Range].[Cost]" caption="Cost" attribute="1" defaultMemberUniqueName="[Range].[Cost].[All]" allUniqueName="[Range].[Cost].[All]" dimensionUniqueName="[Range]" displayFolder="" count="0" memberValueDatatype="5" unbalanced="0"/>
    <cacheHierarchy uniqueName="[Range].[Profit]" caption="Profit" attribute="1" defaultMemberUniqueName="[Range].[Profit].[All]" allUniqueName="[Range].[Profit].[All]" dimensionUniqueName="[Range]" displayFolder="" count="0" memberValueDatatype="5" unbalanced="0"/>
    <cacheHierarchy uniqueName="[Range].[Month]" caption="Month" attribute="1" defaultMemberUniqueName="[Range].[Month].[All]" allUniqueName="[Range].[Month].[All]" dimensionUniqueName="[Range]" displayFolder="" count="0" memberValueDatatype="130" unbalanced="0"/>
    <cacheHierarchy uniqueName="[Range].[Month_No]" caption="Month_No" attribute="1" defaultMemberUniqueName="[Range].[Month_No].[All]" allUniqueName="[Range].[Month_No].[All]" dimensionUniqueName="[Range]" displayFolder="" count="0" memberValueDatatype="20" unbalanced="0"/>
    <cacheHierarchy uniqueName="[Range].[Profit_Margin_%]" caption="Profit_Margin_%" attribute="1" defaultMemberUniqueName="[Range].[Profit_Margin_%].[All]" allUniqueName="[Range].[Profit_Margin_%].[All]" dimensionUniqueName="[Range]" displayFolder="" count="0" memberValueDatatype="5" unbalanced="0"/>
    <cacheHierarchy uniqueName="[Measures].[__XL_Count Range]" caption="__XL_Count Range" measure="1" displayFolder="" measureGroup="Range" count="0" hidden="1"/>
    <cacheHierarchy uniqueName="[Measures].[__No measures defined]" caption="__No measures defined" measure="1" displayFolder="" count="0" hidden="1"/>
    <cacheHierarchy uniqueName="[Measures].[Sum of Sales]" caption="Sum of Sales" measure="1" displayFolder="" measureGroup="Range" count="0" hidden="1">
      <extLst>
        <ext xmlns:x15="http://schemas.microsoft.com/office/spreadsheetml/2010/11/main" uri="{B97F6D7D-B522-45F9-BDA1-12C45D357490}">
          <x15:cacheHierarchy aggregatedColumn="10"/>
        </ext>
      </extLst>
    </cacheHierarchy>
    <cacheHierarchy uniqueName="[Measures].[Sum of Cost]" caption="Sum of Cost" measure="1" displayFolder="" measureGroup="Range" count="0" hidden="1">
      <extLst>
        <ext xmlns:x15="http://schemas.microsoft.com/office/spreadsheetml/2010/11/main" uri="{B97F6D7D-B522-45F9-BDA1-12C45D357490}">
          <x15:cacheHierarchy aggregatedColumn="11"/>
        </ext>
      </extLst>
    </cacheHierarchy>
    <cacheHierarchy uniqueName="[Measures].[Sum of Profit]" caption="Sum of Profit" measure="1" displayFolder="" measureGroup="Range" count="0" hidden="1">
      <extLst>
        <ext xmlns:x15="http://schemas.microsoft.com/office/spreadsheetml/2010/11/main" uri="{B97F6D7D-B522-45F9-BDA1-12C45D357490}">
          <x15:cacheHierarchy aggregatedColumn="12"/>
        </ext>
      </extLst>
    </cacheHierarchy>
    <cacheHierarchy uniqueName="[Measures].[Sum of Quantity]" caption="Sum of Quantity" measure="1" displayFolder="" measureGroup="Range" count="0" hidden="1">
      <extLst>
        <ext xmlns:x15="http://schemas.microsoft.com/office/spreadsheetml/2010/11/main" uri="{B97F6D7D-B522-45F9-BDA1-12C45D357490}">
          <x15:cacheHierarchy aggregatedColumn="6"/>
        </ext>
      </extLst>
    </cacheHierarchy>
    <cacheHierarchy uniqueName="[Measures].[Count of Order_ID]" caption="Count of Order_ID" measure="1" displayFolder="" measureGroup="Range" count="0" hidden="1">
      <extLst>
        <ext xmlns:x15="http://schemas.microsoft.com/office/spreadsheetml/2010/11/main" uri="{B97F6D7D-B522-45F9-BDA1-12C45D357490}">
          <x15:cacheHierarchy aggregatedColumn="0"/>
        </ext>
      </extLst>
    </cacheHierarchy>
    <cacheHierarchy uniqueName="[Measures].[Count of Customer]" caption="Count of Customer" measure="1" displayFolder="" measureGroup="Range" count="0" hidden="1">
      <extLst>
        <ext xmlns:x15="http://schemas.microsoft.com/office/spreadsheetml/2010/11/main" uri="{B97F6D7D-B522-45F9-BDA1-12C45D357490}">
          <x15:cacheHierarchy aggregatedColumn="2"/>
        </ext>
      </extLst>
    </cacheHierarchy>
    <cacheHierarchy uniqueName="[Measures].[Distinct Count of Customer]" caption="Distinct Count of Customer" measure="1" displayFolder="" measureGroup="Range" count="0" oneField="1" hidden="1">
      <fieldsUsage count="1">
        <fieldUsage x="0"/>
      </fieldsUsage>
      <extLst>
        <ext xmlns:x15="http://schemas.microsoft.com/office/spreadsheetml/2010/11/main" uri="{B97F6D7D-B522-45F9-BDA1-12C45D357490}">
          <x15:cacheHierarchy aggregatedColumn="2"/>
        </ext>
      </extLst>
    </cacheHierarchy>
  </cacheHierarchies>
  <kpis count="0"/>
  <dimensions count="2">
    <dimension measure="1" name="Measures" uniqueName="[Measures]" caption="Measures"/>
    <dimension name="Range" uniqueName="[Range]" caption="Range"/>
  </dimensions>
  <measureGroups count="1">
    <measureGroup name="Range" caption="Range"/>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6288.406600462964" backgroundQuery="1" createdVersion="8" refreshedVersion="8" minRefreshableVersion="3" recordCount="0" supportSubquery="1" supportAdvancedDrill="1" xr:uid="{282FEB21-0852-4335-8A4D-1045EE9E4F7F}">
  <cacheSource type="external" connectionId="1"/>
  <cacheFields count="2">
    <cacheField name="[Measures].[Sum of Sales]" caption="Sum of Sales" numFmtId="0" hierarchy="18" level="32767"/>
    <cacheField name="[Range].[Product].[Product]" caption="Product" numFmtId="0" hierarchy="3" level="1">
      <sharedItems count="5">
        <s v="Headset"/>
        <s v="Keyboard"/>
        <s v="Laptop"/>
        <s v="Monitor"/>
        <s v="Mouse"/>
      </sharedItems>
    </cacheField>
  </cacheFields>
  <cacheHierarchies count="25">
    <cacheHierarchy uniqueName="[Range].[Order_ID]" caption="Order_ID" attribute="1" defaultMemberUniqueName="[Range].[Order_ID].[All]" allUniqueName="[Range].[Order_ID].[All]" dimensionUniqueName="[Range]" displayFolder="" count="2" memberValueDatatype="130" unbalanced="0"/>
    <cacheHierarchy uniqueName="[Range].[Order_Date]" caption="Order_Date" attribute="1" time="1" defaultMemberUniqueName="[Range].[Order_Date].[All]" allUniqueName="[Range].[Order_Date].[All]" dimensionUniqueName="[Range]" displayFolder="" count="2" memberValueDatatype="7" unbalanced="0"/>
    <cacheHierarchy uniqueName="[Range].[Customer]" caption="Customer" attribute="1" defaultMemberUniqueName="[Range].[Customer].[All]" allUniqueName="[Range].[Customer].[All]" dimensionUniqueName="[Range]" displayFolder="" count="2" memberValueDatatype="130" unbalanced="0"/>
    <cacheHierarchy uniqueName="[Range].[Product]" caption="Product" attribute="1" defaultMemberUniqueName="[Range].[Product].[All]" allUniqueName="[Range].[Product].[All]" dimensionUniqueName="[Range]" displayFolder="" count="2" memberValueDatatype="130" unbalanced="0">
      <fieldsUsage count="2">
        <fieldUsage x="-1"/>
        <fieldUsage x="1"/>
      </fieldsUsage>
    </cacheHierarchy>
    <cacheHierarchy uniqueName="[Range].[Category]" caption="Category" attribute="1" defaultMemberUniqueName="[Range].[Category].[All]" allUniqueName="[Range].[Category].[All]" dimensionUniqueName="[Range]" displayFolder="" count="2" memberValueDatatype="130" unbalanced="0"/>
    <cacheHierarchy uniqueName="[Range].[Region]" caption="Region" attribute="1" defaultMemberUniqueName="[Range].[Region].[All]" allUniqueName="[Range].[Region].[All]" dimensionUniqueName="[Range]" displayFolder="" count="2" memberValueDatatype="130" unbalanced="0"/>
    <cacheHierarchy uniqueName="[Range].[Quantity]" caption="Quantity" attribute="1" defaultMemberUniqueName="[Range].[Quantity].[All]" allUniqueName="[Range].[Quantity].[All]" dimensionUniqueName="[Range]" displayFolder="" count="2" memberValueDatatype="20" unbalanced="0"/>
    <cacheHierarchy uniqueName="[Range].[Unit_Price]" caption="Unit_Price" attribute="1" defaultMemberUniqueName="[Range].[Unit_Price].[All]" allUniqueName="[Range].[Unit_Price].[All]" dimensionUniqueName="[Range]" displayFolder="" count="2" memberValueDatatype="20" unbalanced="0"/>
    <cacheHierarchy uniqueName="[Range].[Discount_%]" caption="Discount_%" attribute="1" defaultMemberUniqueName="[Range].[Discount_%].[All]" allUniqueName="[Range].[Discount_%].[All]" dimensionUniqueName="[Range]" displayFolder="" count="2" memberValueDatatype="20" unbalanced="0"/>
    <cacheHierarchy uniqueName="[Range].[Payment_Mode]" caption="Payment_Mode" attribute="1" defaultMemberUniqueName="[Range].[Payment_Mode].[All]" allUniqueName="[Range].[Payment_Mode].[All]" dimensionUniqueName="[Range]" displayFolder="" count="2" memberValueDatatype="130" unbalanced="0"/>
    <cacheHierarchy uniqueName="[Range].[Sales]" caption="Sales" attribute="1" defaultMemberUniqueName="[Range].[Sales].[All]" allUniqueName="[Range].[Sales].[All]" dimensionUniqueName="[Range]" displayFolder="" count="2" memberValueDatatype="5" unbalanced="0"/>
    <cacheHierarchy uniqueName="[Range].[Cost]" caption="Cost" attribute="1" defaultMemberUniqueName="[Range].[Cost].[All]" allUniqueName="[Range].[Cost].[All]" dimensionUniqueName="[Range]" displayFolder="" count="2" memberValueDatatype="5" unbalanced="0"/>
    <cacheHierarchy uniqueName="[Range].[Profit]" caption="Profit" attribute="1" defaultMemberUniqueName="[Range].[Profit].[All]" allUniqueName="[Range].[Profit].[All]" dimensionUniqueName="[Range]" displayFolder="" count="2" memberValueDatatype="5" unbalanced="0"/>
    <cacheHierarchy uniqueName="[Range].[Month]" caption="Month" attribute="1" defaultMemberUniqueName="[Range].[Month].[All]" allUniqueName="[Range].[Month].[All]" dimensionUniqueName="[Range]" displayFolder="" count="2" memberValueDatatype="130" unbalanced="0"/>
    <cacheHierarchy uniqueName="[Range].[Month_No]" caption="Month_No" attribute="1" defaultMemberUniqueName="[Range].[Month_No].[All]" allUniqueName="[Range].[Month_No].[All]" dimensionUniqueName="[Range]" displayFolder="" count="2" memberValueDatatype="20" unbalanced="0"/>
    <cacheHierarchy uniqueName="[Range].[Profit_Margin_%]" caption="Profit_Margin_%" attribute="1" defaultMemberUniqueName="[Range].[Profit_Margin_%].[All]" allUniqueName="[Range].[Profit_Margin_%].[All]" dimensionUniqueName="[Range]" displayFolder="" count="2" memberValueDatatype="5" unbalanced="0"/>
    <cacheHierarchy uniqueName="[Measures].[__XL_Count Range]" caption="__XL_Count Range" measure="1" displayFolder="" measureGroup="Range" count="0" hidden="1"/>
    <cacheHierarchy uniqueName="[Measures].[__No measures defined]" caption="__No measures defined" measure="1" displayFolder="" count="0" hidden="1"/>
    <cacheHierarchy uniqueName="[Measures].[Sum of Sales]" caption="Sum of Sales" measure="1" displayFolder="" measureGroup="Range" count="0" oneField="1" hidden="1">
      <fieldsUsage count="1">
        <fieldUsage x="0"/>
      </fieldsUsage>
      <extLst>
        <ext xmlns:x15="http://schemas.microsoft.com/office/spreadsheetml/2010/11/main" uri="{B97F6D7D-B522-45F9-BDA1-12C45D357490}">
          <x15:cacheHierarchy aggregatedColumn="10"/>
        </ext>
      </extLst>
    </cacheHierarchy>
    <cacheHierarchy uniqueName="[Measures].[Sum of Cost]" caption="Sum of Cost" measure="1" displayFolder="" measureGroup="Range" count="0" hidden="1">
      <extLst>
        <ext xmlns:x15="http://schemas.microsoft.com/office/spreadsheetml/2010/11/main" uri="{B97F6D7D-B522-45F9-BDA1-12C45D357490}">
          <x15:cacheHierarchy aggregatedColumn="11"/>
        </ext>
      </extLst>
    </cacheHierarchy>
    <cacheHierarchy uniqueName="[Measures].[Sum of Profit]" caption="Sum of Profit" measure="1" displayFolder="" measureGroup="Range" count="0" hidden="1">
      <extLst>
        <ext xmlns:x15="http://schemas.microsoft.com/office/spreadsheetml/2010/11/main" uri="{B97F6D7D-B522-45F9-BDA1-12C45D357490}">
          <x15:cacheHierarchy aggregatedColumn="12"/>
        </ext>
      </extLst>
    </cacheHierarchy>
    <cacheHierarchy uniqueName="[Measures].[Sum of Quantity]" caption="Sum of Quantity" measure="1" displayFolder="" measureGroup="Range" count="0" hidden="1">
      <extLst>
        <ext xmlns:x15="http://schemas.microsoft.com/office/spreadsheetml/2010/11/main" uri="{B97F6D7D-B522-45F9-BDA1-12C45D357490}">
          <x15:cacheHierarchy aggregatedColumn="6"/>
        </ext>
      </extLst>
    </cacheHierarchy>
    <cacheHierarchy uniqueName="[Measures].[Count of Order_ID]" caption="Count of Order_ID" measure="1" displayFolder="" measureGroup="Range" count="0" hidden="1">
      <extLst>
        <ext xmlns:x15="http://schemas.microsoft.com/office/spreadsheetml/2010/11/main" uri="{B97F6D7D-B522-45F9-BDA1-12C45D357490}">
          <x15:cacheHierarchy aggregatedColumn="0"/>
        </ext>
      </extLst>
    </cacheHierarchy>
    <cacheHierarchy uniqueName="[Measures].[Count of Customer]" caption="Count of Customer" measure="1" displayFolder="" measureGroup="Range" count="0" hidden="1">
      <extLst>
        <ext xmlns:x15="http://schemas.microsoft.com/office/spreadsheetml/2010/11/main" uri="{B97F6D7D-B522-45F9-BDA1-12C45D357490}">
          <x15:cacheHierarchy aggregatedColumn="2"/>
        </ext>
      </extLst>
    </cacheHierarchy>
    <cacheHierarchy uniqueName="[Measures].[Distinct Count of Customer]" caption="Distinct Count of Customer" measure="1" displayFolder="" measureGroup="Range" count="0" hidden="1">
      <extLst>
        <ext xmlns:x15="http://schemas.microsoft.com/office/spreadsheetml/2010/11/main" uri="{B97F6D7D-B522-45F9-BDA1-12C45D357490}">
          <x15:cacheHierarchy aggregatedColumn="2"/>
        </ext>
      </extLst>
    </cacheHierarchy>
  </cacheHierarchies>
  <kpis count="0"/>
  <dimensions count="2">
    <dimension measure="1" name="Measures" uniqueName="[Measures]" caption="Measures"/>
    <dimension name="Range" uniqueName="[Range]" caption="Range"/>
  </dimensions>
  <measureGroups count="1">
    <measureGroup name="Range" caption="Range"/>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6288.40660115741" backgroundQuery="1" createdVersion="8" refreshedVersion="8" minRefreshableVersion="3" recordCount="0" supportSubquery="1" supportAdvancedDrill="1" xr:uid="{2DA5D72D-FF1D-474C-BB43-7576302908D3}">
  <cacheSource type="external" connectionId="1"/>
  <cacheFields count="3">
    <cacheField name="[Range].[Region].[Region]" caption="Region" numFmtId="0" hierarchy="5" level="1">
      <sharedItems count="5">
        <s v="East"/>
        <s v="North"/>
        <s v="South"/>
        <s v="Unknown"/>
        <s v="West"/>
      </sharedItems>
    </cacheField>
    <cacheField name="[Measures].[Sum of Sales]" caption="Sum of Sales" numFmtId="0" hierarchy="18" level="32767"/>
    <cacheField name="[Range].[Product].[Product]" caption="Product" numFmtId="0" hierarchy="3" level="1">
      <sharedItems containsSemiMixedTypes="0" containsNonDate="0" containsString="0"/>
    </cacheField>
  </cacheFields>
  <cacheHierarchies count="25">
    <cacheHierarchy uniqueName="[Range].[Order_ID]" caption="Order_ID" attribute="1" defaultMemberUniqueName="[Range].[Order_ID].[All]" allUniqueName="[Range].[Order_ID].[All]" dimensionUniqueName="[Range]" displayFolder="" count="0" memberValueDatatype="130" unbalanced="0"/>
    <cacheHierarchy uniqueName="[Range].[Order_Date]" caption="Order_Date" attribute="1" time="1" defaultMemberUniqueName="[Range].[Order_Date].[All]" allUniqueName="[Range].[Order_Date].[All]" dimensionUniqueName="[Range]" displayFolder="" count="2" memberValueDatatype="7" unbalanced="0"/>
    <cacheHierarchy uniqueName="[Range].[Customer]" caption="Customer" attribute="1" defaultMemberUniqueName="[Range].[Customer].[All]" allUniqueName="[Range].[Customer].[All]" dimensionUniqueName="[Range]" displayFolder="" count="0" memberValueDatatype="130" unbalanced="0"/>
    <cacheHierarchy uniqueName="[Range].[Product]" caption="Product" attribute="1" defaultMemberUniqueName="[Range].[Product].[All]" allUniqueName="[Range].[Product].[All]" dimensionUniqueName="[Range]" displayFolder="" count="2" memberValueDatatype="130" unbalanced="0">
      <fieldsUsage count="2">
        <fieldUsage x="-1"/>
        <fieldUsage x="2"/>
      </fieldsUsage>
    </cacheHierarchy>
    <cacheHierarchy uniqueName="[Range].[Category]" caption="Category" attribute="1" defaultMemberUniqueName="[Range].[Category].[All]" allUniqueName="[Range].[Category].[All]" dimensionUniqueName="[Range]" displayFolder="" count="2" memberValueDatatype="130" unbalanced="0"/>
    <cacheHierarchy uniqueName="[Range].[Region]" caption="Region" attribute="1" defaultMemberUniqueName="[Range].[Region].[All]" allUniqueName="[Range].[Region].[All]" dimensionUniqueName="[Range]" displayFolder="" count="2" memberValueDatatype="130" unbalanced="0">
      <fieldsUsage count="2">
        <fieldUsage x="-1"/>
        <fieldUsage x="0"/>
      </fieldsUsage>
    </cacheHierarchy>
    <cacheHierarchy uniqueName="[Range].[Quantity]" caption="Quantity" attribute="1" defaultMemberUniqueName="[Range].[Quantity].[All]" allUniqueName="[Range].[Quantity].[All]" dimensionUniqueName="[Range]" displayFolder="" count="0" memberValueDatatype="20" unbalanced="0"/>
    <cacheHierarchy uniqueName="[Range].[Unit_Price]" caption="Unit_Price" attribute="1" defaultMemberUniqueName="[Range].[Unit_Price].[All]" allUniqueName="[Range].[Unit_Price].[All]" dimensionUniqueName="[Range]" displayFolder="" count="0" memberValueDatatype="20" unbalanced="0"/>
    <cacheHierarchy uniqueName="[Range].[Discount_%]" caption="Discount_%" attribute="1" defaultMemberUniqueName="[Range].[Discount_%].[All]" allUniqueName="[Range].[Discount_%].[All]" dimensionUniqueName="[Range]" displayFolder="" count="0" memberValueDatatype="20" unbalanced="0"/>
    <cacheHierarchy uniqueName="[Range].[Payment_Mode]" caption="Payment_Mode" attribute="1" defaultMemberUniqueName="[Range].[Payment_Mode].[All]" allUniqueName="[Range].[Payment_Mode].[All]" dimensionUniqueName="[Range]" displayFolder="" count="2" memberValueDatatype="130" unbalanced="0"/>
    <cacheHierarchy uniqueName="[Range].[Sales]" caption="Sales" attribute="1" defaultMemberUniqueName="[Range].[Sales].[All]" allUniqueName="[Range].[Sales].[All]" dimensionUniqueName="[Range]" displayFolder="" count="0" memberValueDatatype="5" unbalanced="0"/>
    <cacheHierarchy uniqueName="[Range].[Cost]" caption="Cost" attribute="1" defaultMemberUniqueName="[Range].[Cost].[All]" allUniqueName="[Range].[Cost].[All]" dimensionUniqueName="[Range]" displayFolder="" count="0" memberValueDatatype="5" unbalanced="0"/>
    <cacheHierarchy uniqueName="[Range].[Profit]" caption="Profit" attribute="1" defaultMemberUniqueName="[Range].[Profit].[All]" allUniqueName="[Range].[Profit].[All]" dimensionUniqueName="[Range]" displayFolder="" count="0" memberValueDatatype="5" unbalanced="0"/>
    <cacheHierarchy uniqueName="[Range].[Month]" caption="Month" attribute="1" defaultMemberUniqueName="[Range].[Month].[All]" allUniqueName="[Range].[Month].[All]" dimensionUniqueName="[Range]" displayFolder="" count="0" memberValueDatatype="130" unbalanced="0"/>
    <cacheHierarchy uniqueName="[Range].[Month_No]" caption="Month_No" attribute="1" defaultMemberUniqueName="[Range].[Month_No].[All]" allUniqueName="[Range].[Month_No].[All]" dimensionUniqueName="[Range]" displayFolder="" count="0" memberValueDatatype="20" unbalanced="0"/>
    <cacheHierarchy uniqueName="[Range].[Profit_Margin_%]" caption="Profit_Margin_%" attribute="1" defaultMemberUniqueName="[Range].[Profit_Margin_%].[All]" allUniqueName="[Range].[Profit_Margin_%].[All]" dimensionUniqueName="[Range]" displayFolder="" count="0" memberValueDatatype="5" unbalanced="0"/>
    <cacheHierarchy uniqueName="[Measures].[__XL_Count Range]" caption="__XL_Count Range" measure="1" displayFolder="" measureGroup="Range" count="0" hidden="1"/>
    <cacheHierarchy uniqueName="[Measures].[__No measures defined]" caption="__No measures defined" measure="1" displayFolder="" count="0" hidden="1"/>
    <cacheHierarchy uniqueName="[Measures].[Sum of Sales]" caption="Sum of Sales" measure="1" displayFolder="" measureGroup="Range" count="0" oneField="1" hidden="1">
      <fieldsUsage count="1">
        <fieldUsage x="1"/>
      </fieldsUsage>
      <extLst>
        <ext xmlns:x15="http://schemas.microsoft.com/office/spreadsheetml/2010/11/main" uri="{B97F6D7D-B522-45F9-BDA1-12C45D357490}">
          <x15:cacheHierarchy aggregatedColumn="10"/>
        </ext>
      </extLst>
    </cacheHierarchy>
    <cacheHierarchy uniqueName="[Measures].[Sum of Cost]" caption="Sum of Cost" measure="1" displayFolder="" measureGroup="Range" count="0" hidden="1">
      <extLst>
        <ext xmlns:x15="http://schemas.microsoft.com/office/spreadsheetml/2010/11/main" uri="{B97F6D7D-B522-45F9-BDA1-12C45D357490}">
          <x15:cacheHierarchy aggregatedColumn="11"/>
        </ext>
      </extLst>
    </cacheHierarchy>
    <cacheHierarchy uniqueName="[Measures].[Sum of Profit]" caption="Sum of Profit" measure="1" displayFolder="" measureGroup="Range" count="0" hidden="1">
      <extLst>
        <ext xmlns:x15="http://schemas.microsoft.com/office/spreadsheetml/2010/11/main" uri="{B97F6D7D-B522-45F9-BDA1-12C45D357490}">
          <x15:cacheHierarchy aggregatedColumn="12"/>
        </ext>
      </extLst>
    </cacheHierarchy>
    <cacheHierarchy uniqueName="[Measures].[Sum of Quantity]" caption="Sum of Quantity" measure="1" displayFolder="" measureGroup="Range" count="0" hidden="1">
      <extLst>
        <ext xmlns:x15="http://schemas.microsoft.com/office/spreadsheetml/2010/11/main" uri="{B97F6D7D-B522-45F9-BDA1-12C45D357490}">
          <x15:cacheHierarchy aggregatedColumn="6"/>
        </ext>
      </extLst>
    </cacheHierarchy>
    <cacheHierarchy uniqueName="[Measures].[Count of Order_ID]" caption="Count of Order_ID" measure="1" displayFolder="" measureGroup="Range" count="0" hidden="1">
      <extLst>
        <ext xmlns:x15="http://schemas.microsoft.com/office/spreadsheetml/2010/11/main" uri="{B97F6D7D-B522-45F9-BDA1-12C45D357490}">
          <x15:cacheHierarchy aggregatedColumn="0"/>
        </ext>
      </extLst>
    </cacheHierarchy>
    <cacheHierarchy uniqueName="[Measures].[Count of Customer]" caption="Count of Customer" measure="1" displayFolder="" measureGroup="Range" count="0" hidden="1">
      <extLst>
        <ext xmlns:x15="http://schemas.microsoft.com/office/spreadsheetml/2010/11/main" uri="{B97F6D7D-B522-45F9-BDA1-12C45D357490}">
          <x15:cacheHierarchy aggregatedColumn="2"/>
        </ext>
      </extLst>
    </cacheHierarchy>
    <cacheHierarchy uniqueName="[Measures].[Distinct Count of Customer]" caption="Distinct Count of Customer" measure="1" displayFolder="" measureGroup="Range" count="0" hidden="1">
      <extLst>
        <ext xmlns:x15="http://schemas.microsoft.com/office/spreadsheetml/2010/11/main" uri="{B97F6D7D-B522-45F9-BDA1-12C45D357490}">
          <x15:cacheHierarchy aggregatedColumn="2"/>
        </ext>
      </extLst>
    </cacheHierarchy>
  </cacheHierarchies>
  <kpis count="0"/>
  <dimensions count="2">
    <dimension measure="1" name="Measures" uniqueName="[Measures]" caption="Measures"/>
    <dimension name="Range" uniqueName="[Range]" caption="Range"/>
  </dimensions>
  <measureGroups count="1">
    <measureGroup name="Range" caption="Range"/>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6286.433595254632" backgroundQuery="1" createdVersion="3" refreshedVersion="8" minRefreshableVersion="3" recordCount="0" supportSubquery="1" supportAdvancedDrill="1" xr:uid="{9DE9D7AA-F8E4-4D4C-BA67-55FE0F0041E8}">
  <cacheSource type="external" connectionId="1">
    <extLst>
      <ext xmlns:x14="http://schemas.microsoft.com/office/spreadsheetml/2009/9/main" uri="{F057638F-6D5F-4e77-A914-E7F072B9BCA8}">
        <x14:sourceConnection name="ThisWorkbookDataModel"/>
      </ext>
    </extLst>
  </cacheSource>
  <cacheFields count="0"/>
  <cacheHierarchies count="25">
    <cacheHierarchy uniqueName="[Range].[Order_ID]" caption="Order_ID" attribute="1" defaultMemberUniqueName="[Range].[Order_ID].[All]" allUniqueName="[Range].[Order_ID].[All]" dimensionUniqueName="[Range]" displayFolder="" count="2" memberValueDatatype="130" unbalanced="0"/>
    <cacheHierarchy uniqueName="[Range].[Order_Date]" caption="Order_Date" attribute="1" time="1" defaultMemberUniqueName="[Range].[Order_Date].[All]" allUniqueName="[Range].[Order_Date].[All]" dimensionUniqueName="[Range]" displayFolder="" count="0" memberValueDatatype="7" unbalanced="0"/>
    <cacheHierarchy uniqueName="[Range].[Customer]" caption="Customer" attribute="1" defaultMemberUniqueName="[Range].[Customer].[All]" allUniqueName="[Range].[Customer].[All]" dimensionUniqueName="[Range]" displayFolder="" count="0" memberValueDatatype="130" unbalanced="0"/>
    <cacheHierarchy uniqueName="[Range].[Product]" caption="Product" attribute="1" defaultMemberUniqueName="[Range].[Product].[All]" allUniqueName="[Range].[Product].[All]" dimensionUniqueName="[Range]" displayFolder="" count="2" memberValueDatatype="130" unbalanced="0"/>
    <cacheHierarchy uniqueName="[Range].[Category]" caption="Category" attribute="1" defaultMemberUniqueName="[Range].[Category].[All]" allUniqueName="[Range].[Category].[All]" dimensionUniqueName="[Range]" displayFolder="" count="2" memberValueDatatype="130" unbalanced="0"/>
    <cacheHierarchy uniqueName="[Range].[Region]" caption="Region" attribute="1" defaultMemberUniqueName="[Range].[Region].[All]" allUniqueName="[Range].[Region].[All]" dimensionUniqueName="[Range]" displayFolder="" count="2" memberValueDatatype="130" unbalanced="0"/>
    <cacheHierarchy uniqueName="[Range].[Quantity]" caption="Quantity" attribute="1" defaultMemberUniqueName="[Range].[Quantity].[All]" allUniqueName="[Range].[Quantity].[All]" dimensionUniqueName="[Range]" displayFolder="" count="0" memberValueDatatype="20" unbalanced="0"/>
    <cacheHierarchy uniqueName="[Range].[Unit_Price]" caption="Unit_Price" attribute="1" defaultMemberUniqueName="[Range].[Unit_Price].[All]" allUniqueName="[Range].[Unit_Price].[All]" dimensionUniqueName="[Range]" displayFolder="" count="0" memberValueDatatype="20" unbalanced="0"/>
    <cacheHierarchy uniqueName="[Range].[Discount_%]" caption="Discount_%" attribute="1" defaultMemberUniqueName="[Range].[Discount_%].[All]" allUniqueName="[Range].[Discount_%].[All]" dimensionUniqueName="[Range]" displayFolder="" count="0" memberValueDatatype="20" unbalanced="0"/>
    <cacheHierarchy uniqueName="[Range].[Payment_Mode]" caption="Payment_Mode" attribute="1" defaultMemberUniqueName="[Range].[Payment_Mode].[All]" allUniqueName="[Range].[Payment_Mode].[All]" dimensionUniqueName="[Range]" displayFolder="" count="2" memberValueDatatype="130" unbalanced="0"/>
    <cacheHierarchy uniqueName="[Range].[Sales]" caption="Sales" attribute="1" defaultMemberUniqueName="[Range].[Sales].[All]" allUniqueName="[Range].[Sales].[All]" dimensionUniqueName="[Range]" displayFolder="" count="0" memberValueDatatype="5" unbalanced="0"/>
    <cacheHierarchy uniqueName="[Range].[Cost]" caption="Cost" attribute="1" defaultMemberUniqueName="[Range].[Cost].[All]" allUniqueName="[Range].[Cost].[All]" dimensionUniqueName="[Range]" displayFolder="" count="0" memberValueDatatype="5" unbalanced="0"/>
    <cacheHierarchy uniqueName="[Range].[Profit]" caption="Profit" attribute="1" defaultMemberUniqueName="[Range].[Profit].[All]" allUniqueName="[Range].[Profit].[All]" dimensionUniqueName="[Range]" displayFolder="" count="0" memberValueDatatype="5" unbalanced="0"/>
    <cacheHierarchy uniqueName="[Range].[Month]" caption="Month" attribute="1" defaultMemberUniqueName="[Range].[Month].[All]" allUniqueName="[Range].[Month].[All]" dimensionUniqueName="[Range]" displayFolder="" count="0" memberValueDatatype="130" unbalanced="0"/>
    <cacheHierarchy uniqueName="[Range].[Month_No]" caption="Month_No" attribute="1" defaultMemberUniqueName="[Range].[Month_No].[All]" allUniqueName="[Range].[Month_No].[All]" dimensionUniqueName="[Range]" displayFolder="" count="0" memberValueDatatype="20" unbalanced="0"/>
    <cacheHierarchy uniqueName="[Range].[Profit_Margin_%]" caption="Profit_Margin_%" attribute="1" defaultMemberUniqueName="[Range].[Profit_Margin_%].[All]" allUniqueName="[Range].[Profit_Margin_%].[All]" dimensionUniqueName="[Range]" displayFolder="" count="0" memberValueDatatype="5" unbalanced="0"/>
    <cacheHierarchy uniqueName="[Measures].[__XL_Count Range]" caption="__XL_Count Range" measure="1" displayFolder="" measureGroup="Range" count="0" hidden="1"/>
    <cacheHierarchy uniqueName="[Measures].[__No measures defined]" caption="__No measures defined" measure="1" displayFolder="" count="0" hidden="1"/>
    <cacheHierarchy uniqueName="[Measures].[Sum of Sales]" caption="Sum of Sales" measure="1" displayFolder="" measureGroup="Range" count="0" hidden="1">
      <extLst>
        <ext xmlns:x15="http://schemas.microsoft.com/office/spreadsheetml/2010/11/main" uri="{B97F6D7D-B522-45F9-BDA1-12C45D357490}">
          <x15:cacheHierarchy aggregatedColumn="10"/>
        </ext>
      </extLst>
    </cacheHierarchy>
    <cacheHierarchy uniqueName="[Measures].[Sum of Cost]" caption="Sum of Cost" measure="1" displayFolder="" measureGroup="Range" count="0" hidden="1">
      <extLst>
        <ext xmlns:x15="http://schemas.microsoft.com/office/spreadsheetml/2010/11/main" uri="{B97F6D7D-B522-45F9-BDA1-12C45D357490}">
          <x15:cacheHierarchy aggregatedColumn="11"/>
        </ext>
      </extLst>
    </cacheHierarchy>
    <cacheHierarchy uniqueName="[Measures].[Sum of Profit]" caption="Sum of Profit" measure="1" displayFolder="" measureGroup="Range" count="0" hidden="1">
      <extLst>
        <ext xmlns:x15="http://schemas.microsoft.com/office/spreadsheetml/2010/11/main" uri="{B97F6D7D-B522-45F9-BDA1-12C45D357490}">
          <x15:cacheHierarchy aggregatedColumn="12"/>
        </ext>
      </extLst>
    </cacheHierarchy>
    <cacheHierarchy uniqueName="[Measures].[Sum of Quantity]" caption="Sum of Quantity" measure="1" displayFolder="" measureGroup="Range" count="0" hidden="1">
      <extLst>
        <ext xmlns:x15="http://schemas.microsoft.com/office/spreadsheetml/2010/11/main" uri="{B97F6D7D-B522-45F9-BDA1-12C45D357490}">
          <x15:cacheHierarchy aggregatedColumn="6"/>
        </ext>
      </extLst>
    </cacheHierarchy>
    <cacheHierarchy uniqueName="[Measures].[Count of Order_ID]" caption="Count of Order_ID" measure="1" displayFolder="" measureGroup="Range" count="0" hidden="1">
      <extLst>
        <ext xmlns:x15="http://schemas.microsoft.com/office/spreadsheetml/2010/11/main" uri="{B97F6D7D-B522-45F9-BDA1-12C45D357490}">
          <x15:cacheHierarchy aggregatedColumn="0"/>
        </ext>
      </extLst>
    </cacheHierarchy>
    <cacheHierarchy uniqueName="[Measures].[Count of Customer]" caption="Count of Customer" measure="1" displayFolder="" measureGroup="Range" count="0" hidden="1">
      <extLst>
        <ext xmlns:x15="http://schemas.microsoft.com/office/spreadsheetml/2010/11/main" uri="{B97F6D7D-B522-45F9-BDA1-12C45D357490}">
          <x15:cacheHierarchy aggregatedColumn="2"/>
        </ext>
      </extLst>
    </cacheHierarchy>
    <cacheHierarchy uniqueName="[Measures].[Distinct Count of Customer]" caption="Distinct Count of Customer" measure="1" displayFolder="" measureGroup="Range" count="0" hidden="1">
      <extLst>
        <ext xmlns:x15="http://schemas.microsoft.com/office/spreadsheetml/2010/11/main" uri="{B97F6D7D-B522-45F9-BDA1-12C45D357490}">
          <x15:cacheHierarchy aggregatedColumn="2"/>
        </ext>
      </extLst>
    </cacheHierarchy>
  </cacheHierarchies>
  <kpis count="0"/>
  <extLst>
    <ext xmlns:x14="http://schemas.microsoft.com/office/spreadsheetml/2009/9/main" uri="{725AE2AE-9491-48be-B2B4-4EB974FC3084}">
      <x14:pivotCacheDefinition slicerData="1" pivotCacheId="1694109575"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6286.431735995371" backgroundQuery="1" createdVersion="3" refreshedVersion="8" minRefreshableVersion="3" recordCount="0" supportSubquery="1" supportAdvancedDrill="1" xr:uid="{4C901858-7F40-49A2-A4FA-76459AC07B4B}">
  <cacheSource type="external" connectionId="1">
    <extLst>
      <ext xmlns:x14="http://schemas.microsoft.com/office/spreadsheetml/2009/9/main" uri="{F057638F-6D5F-4e77-A914-E7F072B9BCA8}">
        <x14:sourceConnection name="ThisWorkbookDataModel"/>
      </ext>
    </extLst>
  </cacheSource>
  <cacheFields count="0"/>
  <cacheHierarchies count="25">
    <cacheHierarchy uniqueName="[Range].[Order_ID]" caption="Order_ID" attribute="1" defaultMemberUniqueName="[Range].[Order_ID].[All]" allUniqueName="[Range].[Order_ID].[All]" dimensionUniqueName="[Range]" displayFolder="" count="0" memberValueDatatype="130" unbalanced="0"/>
    <cacheHierarchy uniqueName="[Range].[Order_Date]" caption="Order_Date" attribute="1" time="1" defaultMemberUniqueName="[Range].[Order_Date].[All]" allUniqueName="[Range].[Order_Date].[All]" dimensionUniqueName="[Range]" displayFolder="" count="2" memberValueDatatype="7" unbalanced="0"/>
    <cacheHierarchy uniqueName="[Range].[Customer]" caption="Customer" attribute="1" defaultMemberUniqueName="[Range].[Customer].[All]" allUniqueName="[Range].[Customer].[All]" dimensionUniqueName="[Range]" displayFolder="" count="0" memberValueDatatype="130" unbalanced="0"/>
    <cacheHierarchy uniqueName="[Range].[Product]" caption="Product" attribute="1" defaultMemberUniqueName="[Range].[Product].[All]" allUniqueName="[Range].[Product].[All]" dimensionUniqueName="[Range]" displayFolder="" count="0" memberValueDatatype="130" unbalanced="0"/>
    <cacheHierarchy uniqueName="[Range].[Category]" caption="Category" attribute="1" defaultMemberUniqueName="[Range].[Category].[All]" allUniqueName="[Range].[Category].[All]" dimensionUniqueName="[Range]" displayFolder="" count="0" memberValueDatatype="130" unbalanced="0"/>
    <cacheHierarchy uniqueName="[Range].[Region]" caption="Region" attribute="1" defaultMemberUniqueName="[Range].[Region].[All]" allUniqueName="[Range].[Region].[All]" dimensionUniqueName="[Range]" displayFolder="" count="0" memberValueDatatype="130" unbalanced="0"/>
    <cacheHierarchy uniqueName="[Range].[Quantity]" caption="Quantity" attribute="1" defaultMemberUniqueName="[Range].[Quantity].[All]" allUniqueName="[Range].[Quantity].[All]" dimensionUniqueName="[Range]" displayFolder="" count="0" memberValueDatatype="20" unbalanced="0"/>
    <cacheHierarchy uniqueName="[Range].[Unit_Price]" caption="Unit_Price" attribute="1" defaultMemberUniqueName="[Range].[Unit_Price].[All]" allUniqueName="[Range].[Unit_Price].[All]" dimensionUniqueName="[Range]" displayFolder="" count="0" memberValueDatatype="20" unbalanced="0"/>
    <cacheHierarchy uniqueName="[Range].[Discount_%]" caption="Discount_%" attribute="1" defaultMemberUniqueName="[Range].[Discount_%].[All]" allUniqueName="[Range].[Discount_%].[All]" dimensionUniqueName="[Range]" displayFolder="" count="0" memberValueDatatype="20" unbalanced="0"/>
    <cacheHierarchy uniqueName="[Range].[Payment_Mode]" caption="Payment_Mode" attribute="1" defaultMemberUniqueName="[Range].[Payment_Mode].[All]" allUniqueName="[Range].[Payment_Mode].[All]" dimensionUniqueName="[Range]" displayFolder="" count="0" memberValueDatatype="130" unbalanced="0"/>
    <cacheHierarchy uniqueName="[Range].[Sales]" caption="Sales" attribute="1" defaultMemberUniqueName="[Range].[Sales].[All]" allUniqueName="[Range].[Sales].[All]" dimensionUniqueName="[Range]" displayFolder="" count="0" memberValueDatatype="5" unbalanced="0"/>
    <cacheHierarchy uniqueName="[Range].[Cost]" caption="Cost" attribute="1" defaultMemberUniqueName="[Range].[Cost].[All]" allUniqueName="[Range].[Cost].[All]" dimensionUniqueName="[Range]" displayFolder="" count="0" memberValueDatatype="5" unbalanced="0"/>
    <cacheHierarchy uniqueName="[Range].[Profit]" caption="Profit" attribute="1" defaultMemberUniqueName="[Range].[Profit].[All]" allUniqueName="[Range].[Profit].[All]" dimensionUniqueName="[Range]" displayFolder="" count="0" memberValueDatatype="5" unbalanced="0"/>
    <cacheHierarchy uniqueName="[Range].[Month]" caption="Month" attribute="1" defaultMemberUniqueName="[Range].[Month].[All]" allUniqueName="[Range].[Month].[All]" dimensionUniqueName="[Range]" displayFolder="" count="0" memberValueDatatype="130" unbalanced="0"/>
    <cacheHierarchy uniqueName="[Range].[Month_No]" caption="Month_No" attribute="1" defaultMemberUniqueName="[Range].[Month_No].[All]" allUniqueName="[Range].[Month_No].[All]" dimensionUniqueName="[Range]" displayFolder="" count="0" memberValueDatatype="20" unbalanced="0"/>
    <cacheHierarchy uniqueName="[Range].[Profit_Margin_%]" caption="Profit_Margin_%" attribute="1" defaultMemberUniqueName="[Range].[Profit_Margin_%].[All]" allUniqueName="[Range].[Profit_Margin_%].[All]" dimensionUniqueName="[Range]" displayFolder="" count="0" memberValueDatatype="5" unbalanced="0"/>
    <cacheHierarchy uniqueName="[Measures].[__XL_Count Range]" caption="__XL_Count Range" measure="1" displayFolder="" measureGroup="Range" count="0" hidden="1"/>
    <cacheHierarchy uniqueName="[Measures].[__No measures defined]" caption="__No measures defined" measure="1" displayFolder="" count="0" hidden="1"/>
    <cacheHierarchy uniqueName="[Measures].[Sum of Sales]" caption="Sum of Sales" measure="1" displayFolder="" measureGroup="Range" count="0" hidden="1">
      <extLst>
        <ext xmlns:x15="http://schemas.microsoft.com/office/spreadsheetml/2010/11/main" uri="{B97F6D7D-B522-45F9-BDA1-12C45D357490}">
          <x15:cacheHierarchy aggregatedColumn="10"/>
        </ext>
      </extLst>
    </cacheHierarchy>
    <cacheHierarchy uniqueName="[Measures].[Sum of Cost]" caption="Sum of Cost" measure="1" displayFolder="" measureGroup="Range" count="0" hidden="1">
      <extLst>
        <ext xmlns:x15="http://schemas.microsoft.com/office/spreadsheetml/2010/11/main" uri="{B97F6D7D-B522-45F9-BDA1-12C45D357490}">
          <x15:cacheHierarchy aggregatedColumn="11"/>
        </ext>
      </extLst>
    </cacheHierarchy>
    <cacheHierarchy uniqueName="[Measures].[Sum of Profit]" caption="Sum of Profit" measure="1" displayFolder="" measureGroup="Range" count="0" hidden="1">
      <extLst>
        <ext xmlns:x15="http://schemas.microsoft.com/office/spreadsheetml/2010/11/main" uri="{B97F6D7D-B522-45F9-BDA1-12C45D357490}">
          <x15:cacheHierarchy aggregatedColumn="12"/>
        </ext>
      </extLst>
    </cacheHierarchy>
    <cacheHierarchy uniqueName="[Measures].[Sum of Quantity]" caption="Sum of Quantity" measure="1" displayFolder="" measureGroup="Range" count="0" hidden="1">
      <extLst>
        <ext xmlns:x15="http://schemas.microsoft.com/office/spreadsheetml/2010/11/main" uri="{B97F6D7D-B522-45F9-BDA1-12C45D357490}">
          <x15:cacheHierarchy aggregatedColumn="6"/>
        </ext>
      </extLst>
    </cacheHierarchy>
    <cacheHierarchy uniqueName="[Measures].[Count of Order_ID]" caption="Count of Order_ID" measure="1" displayFolder="" measureGroup="Range" count="0" hidden="1">
      <extLst>
        <ext xmlns:x15="http://schemas.microsoft.com/office/spreadsheetml/2010/11/main" uri="{B97F6D7D-B522-45F9-BDA1-12C45D357490}">
          <x15:cacheHierarchy aggregatedColumn="0"/>
        </ext>
      </extLst>
    </cacheHierarchy>
    <cacheHierarchy uniqueName="[Measures].[Count of Customer]" caption="Count of Customer" measure="1" displayFolder="" measureGroup="Range" count="0" hidden="1">
      <extLst>
        <ext xmlns:x15="http://schemas.microsoft.com/office/spreadsheetml/2010/11/main" uri="{B97F6D7D-B522-45F9-BDA1-12C45D357490}">
          <x15:cacheHierarchy aggregatedColumn="2"/>
        </ext>
      </extLst>
    </cacheHierarchy>
    <cacheHierarchy uniqueName="[Measures].[Distinct Count of Customer]" caption="Distinct Count of Customer" measure="1" displayFolder="" measureGroup="Range" count="0" hidden="1">
      <extLst>
        <ext xmlns:x15="http://schemas.microsoft.com/office/spreadsheetml/2010/11/main" uri="{B97F6D7D-B522-45F9-BDA1-12C45D357490}">
          <x15:cacheHierarchy aggregatedColumn="2"/>
        </ext>
      </extLst>
    </cacheHierarchy>
  </cacheHierarchies>
  <kpis count="0"/>
  <extLst>
    <ext xmlns:x14="http://schemas.microsoft.com/office/spreadsheetml/2009/9/main" uri="{725AE2AE-9491-48be-B2B4-4EB974FC3084}">
      <x14:pivotCacheDefinition pivotCacheId="1215635018" supportSubqueryNonVisual="1" supportSubqueryCalcMem="1" supportAddCalcMems="1"/>
    </ext>
    <ext xmlns:x15="http://schemas.microsoft.com/office/spreadsheetml/2010/11/main" uri="{ABF5C744-AB39-4b91-8756-CFA1BBC848D5}">
      <x15:pivotCacheIdVersion cacheIdSupportedVersion="6" cacheIdCreatedVersion="7"/>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6ABE03AF-8D74-43E9-8D45-47C810D749BC}" name="Sales By Region" cacheId="50" applyNumberFormats="0" applyBorderFormats="0" applyFontFormats="0" applyPatternFormats="0" applyAlignmentFormats="0" applyWidthHeightFormats="1" dataCaption="Values" updatedVersion="8" minRefreshableVersion="5" itemPrintTitles="1" createdVersion="8" indent="0" outline="1" outlineData="1" multipleFieldFilters="0" chartFormat="8">
  <location ref="J11:K17" firstHeaderRow="1" firstDataRow="1" firstDataCol="1"/>
  <pivotFields count="3">
    <pivotField axis="axisRow" allDrilled="1" subtotalTop="0" showAll="0" dataSourceSort="1" defaultSubtotal="0" defaultAttributeDrillState="1">
      <items count="5">
        <item x="0"/>
        <item x="1"/>
        <item x="2"/>
        <item x="3"/>
        <item x="4"/>
      </items>
    </pivotField>
    <pivotField dataField="1" subtotalTop="0" showAll="0" defaultSubtotal="0"/>
    <pivotField allDrilled="1" subtotalTop="0" showAll="0" dataSourceSort="1" defaultSubtotal="0" defaultAttributeDrillState="1"/>
  </pivotFields>
  <rowFields count="1">
    <field x="0"/>
  </rowFields>
  <rowItems count="6">
    <i>
      <x/>
    </i>
    <i>
      <x v="1"/>
    </i>
    <i>
      <x v="2"/>
    </i>
    <i>
      <x v="3"/>
    </i>
    <i>
      <x v="4"/>
    </i>
    <i t="grand">
      <x/>
    </i>
  </rowItems>
  <colItems count="1">
    <i/>
  </colItems>
  <dataFields count="1">
    <dataField name="Sum of Sales" fld="1" baseField="0" baseItem="0"/>
  </dataFields>
  <chartFormats count="7">
    <chartFormat chart="0" format="0" series="1">
      <pivotArea type="data" outline="0" fieldPosition="0">
        <references count="1">
          <reference field="4294967294" count="1" selected="0">
            <x v="0"/>
          </reference>
        </references>
      </pivotArea>
    </chartFormat>
    <chartFormat chart="5" format="19" series="1">
      <pivotArea type="data" outline="0" fieldPosition="0">
        <references count="1">
          <reference field="4294967294" count="1" selected="0">
            <x v="0"/>
          </reference>
        </references>
      </pivotArea>
    </chartFormat>
    <chartFormat chart="5" format="20">
      <pivotArea type="data" outline="0" fieldPosition="0">
        <references count="2">
          <reference field="4294967294" count="1" selected="0">
            <x v="0"/>
          </reference>
          <reference field="0" count="1" selected="0">
            <x v="0"/>
          </reference>
        </references>
      </pivotArea>
    </chartFormat>
    <chartFormat chart="5" format="21">
      <pivotArea type="data" outline="0" fieldPosition="0">
        <references count="2">
          <reference field="4294967294" count="1" selected="0">
            <x v="0"/>
          </reference>
          <reference field="0" count="1" selected="0">
            <x v="1"/>
          </reference>
        </references>
      </pivotArea>
    </chartFormat>
    <chartFormat chart="5" format="22">
      <pivotArea type="data" outline="0" fieldPosition="0">
        <references count="2">
          <reference field="4294967294" count="1" selected="0">
            <x v="0"/>
          </reference>
          <reference field="0" count="1" selected="0">
            <x v="2"/>
          </reference>
        </references>
      </pivotArea>
    </chartFormat>
    <chartFormat chart="5" format="23">
      <pivotArea type="data" outline="0" fieldPosition="0">
        <references count="2">
          <reference field="4294967294" count="1" selected="0">
            <x v="0"/>
          </reference>
          <reference field="0" count="1" selected="0">
            <x v="3"/>
          </reference>
        </references>
      </pivotArea>
    </chartFormat>
    <chartFormat chart="5" format="24">
      <pivotArea type="data" outline="0" fieldPosition="0">
        <references count="2">
          <reference field="4294967294" count="1" selected="0">
            <x v="0"/>
          </reference>
          <reference field="0" count="1" selected="0">
            <x v="4"/>
          </reference>
        </references>
      </pivotArea>
    </chartFormat>
  </chartFormats>
  <pivotHierarchies count="25">
    <pivotHierarchy dragToData="1"/>
    <pivotHierarchy dragToData="1"/>
    <pivotHierarchy dragToData="1"/>
    <pivotHierarchy multipleItemSelectionAllowed="1" dragToData="1"/>
    <pivotHierarchy multipleItemSelectionAllowed="1"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Clean_Data!$A$1:$P$81">
        <x15:activeTabTopLevelEntity name="[Rang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43EE551C-D714-45C0-9445-64BC60A3CEA8}" name="Profit By Product" cacheId="32" applyNumberFormats="0" applyBorderFormats="0" applyFontFormats="0" applyPatternFormats="0" applyAlignmentFormats="0" applyWidthHeightFormats="1" dataCaption="Values" updatedVersion="8" minRefreshableVersion="5" useAutoFormatting="1" subtotalHiddenItems="1" itemPrintTitles="1" createdVersion="8" indent="0" outline="1" outlineData="1" multipleFieldFilters="0" chartFormat="8">
  <location ref="G11:H17" firstHeaderRow="1" firstDataRow="1" firstDataCol="1"/>
  <pivotFields count="2">
    <pivotField axis="axisRow" allDrilled="1" subtotalTop="0" showAll="0" dataSourceSort="1" defaultSubtotal="0" defaultAttributeDrillState="1">
      <items count="5">
        <item x="0"/>
        <item x="1"/>
        <item x="2"/>
        <item x="3"/>
        <item x="4"/>
      </items>
    </pivotField>
    <pivotField dataField="1" subtotalTop="0" showAll="0" defaultSubtotal="0"/>
  </pivotFields>
  <rowFields count="1">
    <field x="0"/>
  </rowFields>
  <rowItems count="6">
    <i>
      <x/>
    </i>
    <i>
      <x v="1"/>
    </i>
    <i>
      <x v="2"/>
    </i>
    <i>
      <x v="3"/>
    </i>
    <i>
      <x v="4"/>
    </i>
    <i t="grand">
      <x/>
    </i>
  </rowItems>
  <colItems count="1">
    <i/>
  </colItems>
  <dataFields count="1">
    <dataField name="Sum of Profit" fld="1" baseField="0" baseItem="0"/>
  </dataFields>
  <chartFormats count="3">
    <chartFormat chart="0" format="0" series="1">
      <pivotArea type="data" outline="0" fieldPosition="0">
        <references count="1">
          <reference field="4294967294" count="1" selected="0">
            <x v="0"/>
          </reference>
        </references>
      </pivotArea>
    </chartFormat>
    <chartFormat chart="4" format="3" series="1">
      <pivotArea type="data" outline="0" fieldPosition="0">
        <references count="1">
          <reference field="4294967294" count="1" selected="0">
            <x v="0"/>
          </reference>
        </references>
      </pivotArea>
    </chartFormat>
    <chartFormat chart="5" format="4" series="1">
      <pivotArea type="data" outline="0" fieldPosition="0">
        <references count="1">
          <reference field="4294967294" count="1" selected="0">
            <x v="0"/>
          </reference>
        </references>
      </pivotArea>
    </chartFormat>
  </chartFormats>
  <pivotHierarchies count="25">
    <pivotHierarchy dragToData="1"/>
    <pivotHierarchy dragToData="1"/>
    <pivotHierarchy dragToData="1"/>
    <pivotHierarchy multipleItemSelectionAllowed="1" dragToData="1"/>
    <pivotHierarchy multipleItemSelectionAllowed="1"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Clean_Data!$A$1:$P$81">
        <x15:activeTabTopLevelEntity name="[Rang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C75D328C-00BA-451A-B3E7-F577B8826088}" name="Sales By Product" cacheId="47"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8">
  <location ref="D11:E17" firstHeaderRow="1" firstDataRow="1" firstDataCol="1"/>
  <pivotFields count="2">
    <pivotField dataField="1" subtotalTop="0" showAll="0" defaultSubtotal="0"/>
    <pivotField axis="axisRow" allDrilled="1" subtotalTop="0" showAll="0" dataSourceSort="1" defaultSubtotal="0" defaultAttributeDrillState="1">
      <items count="5">
        <item x="0"/>
        <item x="1"/>
        <item x="2"/>
        <item x="3"/>
        <item x="4"/>
      </items>
    </pivotField>
  </pivotFields>
  <rowFields count="1">
    <field x="1"/>
  </rowFields>
  <rowItems count="6">
    <i>
      <x/>
    </i>
    <i>
      <x v="1"/>
    </i>
    <i>
      <x v="2"/>
    </i>
    <i>
      <x v="3"/>
    </i>
    <i>
      <x v="4"/>
    </i>
    <i t="grand">
      <x/>
    </i>
  </rowItems>
  <colItems count="1">
    <i/>
  </colItems>
  <dataFields count="1">
    <dataField name="Sum of Sales" fld="0" baseField="0" baseItem="0"/>
  </dataFields>
  <chartFormats count="2">
    <chartFormat chart="0" format="0" series="1">
      <pivotArea type="data" outline="0" fieldPosition="0">
        <references count="1">
          <reference field="4294967294" count="1" selected="0">
            <x v="0"/>
          </reference>
        </references>
      </pivotArea>
    </chartFormat>
    <chartFormat chart="5" format="4" series="1">
      <pivotArea type="data" outline="0" fieldPosition="0">
        <references count="1">
          <reference field="4294967294" count="1" selected="0">
            <x v="0"/>
          </reference>
        </references>
      </pivotArea>
    </chartFormat>
  </chartFormats>
  <pivotHierarchies count="25">
    <pivotHierarchy dragToData="1"/>
    <pivotHierarchy dragToData="1"/>
    <pivotHierarchy dragToData="1"/>
    <pivotHierarchy multipleItemSelectionAllowed="1" dragToData="1"/>
    <pivotHierarchy multipleItemSelectionAllowed="1"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Clean_Data!$A$1:$P$81">
        <x15:activeTabTopLevelEntity name="[Rang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630306A2-9246-42A2-915E-FE86AD79873A}" name="Monthly Sales Trend" cacheId="35" applyNumberFormats="0" applyBorderFormats="0" applyFontFormats="0" applyPatternFormats="0" applyAlignmentFormats="0" applyWidthHeightFormats="1" dataCaption="Values" updatedVersion="8" minRefreshableVersion="5" useAutoFormatting="1" subtotalHiddenItems="1" itemPrintTitles="1" createdVersion="8" indent="0" outline="1" outlineData="1" multipleFieldFilters="0" chartFormat="16">
  <location ref="A11:C24" firstHeaderRow="0" firstDataRow="1" firstDataCol="1"/>
  <pivotFields count="5">
    <pivotField dataField="1" subtotalTop="0" showAll="0" defaultSubtotal="0"/>
    <pivotField axis="axisRow" allDrilled="1" subtotalTop="0" showAll="0" defaultSubtotal="0" defaultAttributeDrillState="1">
      <items count="6">
        <item x="0"/>
        <item x="2"/>
        <item x="4"/>
        <item x="1"/>
        <item x="3"/>
        <item x="5"/>
      </items>
    </pivotField>
    <pivotField axis="axisRow" allDrilled="1" subtotalTop="0" showAll="0" dataSourceSort="1" defaultSubtotal="0" defaultAttributeDrillState="1">
      <items count="6">
        <item x="0"/>
        <item x="1"/>
        <item x="2"/>
        <item x="3"/>
        <item x="4"/>
        <item x="5"/>
      </items>
    </pivotField>
    <pivotField allDrilled="1" subtotalTop="0" showAll="0" dataSourceSort="1" defaultSubtotal="0" defaultAttributeDrillState="1"/>
    <pivotField dataField="1" compact="0" outline="0" subtotalTop="0" dragToRow="0" dragToCol="0" dragToPage="0" dragToData="0" dragOff="0" showAll="0" topAutoShow="0" includeNewItemsInFilter="1" itemPageCount="0" rankBy="0" defaultSubtotal="0">
      <extLst>
        <ext xmlns:x14="http://schemas.microsoft.com/office/spreadsheetml/2009/9/main" uri="{2946ED86-A175-432a-8AC1-64E0C546D7DE}">
          <x14:pivotField ignore="1"/>
        </ext>
      </extLst>
    </pivotField>
  </pivotFields>
  <rowFields count="2">
    <field x="2"/>
    <field x="1"/>
  </rowFields>
  <rowItems count="13">
    <i>
      <x/>
    </i>
    <i r="1">
      <x/>
    </i>
    <i>
      <x v="1"/>
    </i>
    <i r="1">
      <x v="3"/>
    </i>
    <i>
      <x v="2"/>
    </i>
    <i r="1">
      <x v="1"/>
    </i>
    <i>
      <x v="3"/>
    </i>
    <i r="1">
      <x v="4"/>
    </i>
    <i>
      <x v="4"/>
    </i>
    <i r="1">
      <x v="2"/>
    </i>
    <i>
      <x v="5"/>
    </i>
    <i r="1">
      <x v="5"/>
    </i>
    <i t="grand">
      <x/>
    </i>
  </rowItems>
  <colFields count="1">
    <field x="-2"/>
  </colFields>
  <colItems count="2">
    <i>
      <x/>
    </i>
    <i i="1">
      <x v="1"/>
    </i>
  </colItems>
  <dataFields count="2">
    <dataField name="Sum of Sales" fld="0" baseField="0" baseItem="0"/>
    <dataField name="Sum of Sales2" fld="4" baseField="0" baseItem="0">
      <extLst>
        <ext xmlns:x14="http://schemas.microsoft.com/office/spreadsheetml/2009/9/main" uri="{E15A36E0-9728-4e99-A89B-3F7291B0FE68}">
          <x14:dataField sourceField="0" uniqueName="[__Xl2].[Measures].[Sum of Sales]"/>
        </ext>
      </extLst>
    </dataField>
  </dataFields>
  <chartFormats count="4">
    <chartFormat chart="0" format="2" series="1">
      <pivotArea type="data" outline="0" fieldPosition="0">
        <references count="1">
          <reference field="4294967294" count="1" selected="0">
            <x v="0"/>
          </reference>
        </references>
      </pivotArea>
    </chartFormat>
    <chartFormat chart="0" format="3" series="1">
      <pivotArea type="data" outline="0" fieldPosition="0">
        <references count="1">
          <reference field="4294967294" count="1" selected="0">
            <x v="1"/>
          </reference>
        </references>
      </pivotArea>
    </chartFormat>
    <chartFormat chart="11" format="9" series="1">
      <pivotArea type="data" outline="0" fieldPosition="0">
        <references count="1">
          <reference field="4294967294" count="1" selected="0">
            <x v="0"/>
          </reference>
        </references>
      </pivotArea>
    </chartFormat>
    <chartFormat chart="11" format="10" series="1">
      <pivotArea type="data" outline="0" fieldPosition="0">
        <references count="1">
          <reference field="4294967294" count="1" selected="0">
            <x v="1"/>
          </reference>
        </references>
      </pivotArea>
    </chartFormat>
  </chartFormats>
  <pivotHierarchies count="26">
    <pivotHierarchy dragToData="1"/>
    <pivotHierarchy dragToData="1"/>
    <pivotHierarchy dragToData="1"/>
    <pivotHierarchy multipleItemSelectionAllowed="1" dragToData="1"/>
    <pivotHierarchy multipleItemSelectionAllowed="1"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Row="0" dragToCol="0" dragToPage="0" dragToData="1" dragOff="0" includeNewItemsInFilter="1">
      <extLst>
        <ext xmlns:x14="http://schemas.microsoft.com/office/spreadsheetml/2009/9/main" uri="{F1805F06-0CD3-4483-9156-8803C3D141DF}">
          <x14:pivotHierarchy ignore="1"/>
        </ext>
      </extLst>
    </pivotHierarchy>
  </pivotHierarchies>
  <pivotTableStyleInfo name="PivotStyleLight16" showRowHeaders="1" showColHeaders="1" showRowStripes="0" showColStripes="0" showLastColumn="1"/>
  <rowHierarchiesUsage count="2">
    <rowHierarchyUsage hierarchyUsage="14"/>
    <rowHierarchyUsage hierarchyUsage="13"/>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Clean_Data!$A$1:$P$81">
        <x15:activeTabTopLevelEntity name="[Rang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9E5C3570-66C1-479D-9CA3-BD885A186601}" name="PivotTable2" cacheId="44"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location ref="E3:E4"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Distinct Count of Customer" fld="0" subtotal="count" baseField="0" baseItem="0">
      <extLst>
        <ext xmlns:x15="http://schemas.microsoft.com/office/spreadsheetml/2010/11/main" uri="{FABC7310-3BB5-11E1-824E-6D434824019B}">
          <x15:dataField isCountDistinct="1"/>
        </ext>
      </extLst>
    </dataField>
  </dataFields>
  <pivotHierarchies count="25">
    <pivotHierarchy dragToData="1"/>
    <pivotHierarchy dragToData="1"/>
    <pivotHierarchy dragToData="1"/>
    <pivotHierarchy multipleItemSelectionAllowed="1" dragToData="1"/>
    <pivotHierarchy multipleItemSelectionAllowed="1"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Clean_Data!$A$1:$P$81">
        <x15:activeTabTopLevelEntity name="[Rang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131BD2DF-DA9E-43C8-940C-C106F616DC48}" name="Monthly Sales vs Cost vs Profit" cacheId="38" applyNumberFormats="0" applyBorderFormats="0" applyFontFormats="0" applyPatternFormats="0" applyAlignmentFormats="0" applyWidthHeightFormats="1" dataCaption="Values" updatedVersion="8" minRefreshableVersion="5" itemPrintTitles="1" createdVersion="8" indent="0" outline="1" outlineData="1" multipleFieldFilters="0" chartFormat="10">
  <location ref="M11:P24" firstHeaderRow="0" firstDataRow="1" firstDataCol="1"/>
  <pivotFields count="6">
    <pivotField dataField="1" subtotalTop="0" showAll="0" defaultSubtotal="0"/>
    <pivotField dataField="1" subtotalTop="0" showAll="0" defaultSubtotal="0"/>
    <pivotField dataField="1" subtotalTop="0" showAll="0" defaultSubtotal="0"/>
    <pivotField axis="axisRow" allDrilled="1" subtotalTop="0" showAll="0" dataSourceSort="1" defaultSubtotal="0" defaultAttributeDrillState="1">
      <items count="6">
        <item x="0"/>
        <item x="1"/>
        <item x="2"/>
        <item x="3"/>
        <item x="4"/>
        <item x="5"/>
      </items>
    </pivotField>
    <pivotField axis="axisRow" allDrilled="1" subtotalTop="0" showAll="0" dataSourceSort="1" defaultSubtotal="0" defaultAttributeDrillState="1">
      <items count="6">
        <item x="0"/>
        <item x="1"/>
        <item x="2"/>
        <item x="3"/>
        <item x="4"/>
        <item x="5"/>
      </items>
    </pivotField>
    <pivotField allDrilled="1" subtotalTop="0" showAll="0" dataSourceSort="1" defaultSubtotal="0" defaultAttributeDrillState="1"/>
  </pivotFields>
  <rowFields count="2">
    <field x="4"/>
    <field x="3"/>
  </rowFields>
  <rowItems count="13">
    <i>
      <x/>
    </i>
    <i r="1">
      <x/>
    </i>
    <i>
      <x v="1"/>
    </i>
    <i r="1">
      <x v="1"/>
    </i>
    <i>
      <x v="2"/>
    </i>
    <i r="1">
      <x v="2"/>
    </i>
    <i>
      <x v="3"/>
    </i>
    <i r="1">
      <x v="3"/>
    </i>
    <i>
      <x v="4"/>
    </i>
    <i r="1">
      <x v="4"/>
    </i>
    <i>
      <x v="5"/>
    </i>
    <i r="1">
      <x v="5"/>
    </i>
    <i t="grand">
      <x/>
    </i>
  </rowItems>
  <colFields count="1">
    <field x="-2"/>
  </colFields>
  <colItems count="3">
    <i>
      <x/>
    </i>
    <i i="1">
      <x v="1"/>
    </i>
    <i i="2">
      <x v="2"/>
    </i>
  </colItems>
  <dataFields count="3">
    <dataField name="Sum of Sales" fld="0" baseField="0" baseItem="0"/>
    <dataField name="Sum of Profit" fld="1" baseField="0" baseItem="0"/>
    <dataField name="Sum of Cost" fld="2" baseField="0" baseItem="0"/>
  </dataFields>
  <chartFormats count="6">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0" format="2" series="1">
      <pivotArea type="data" outline="0" fieldPosition="0">
        <references count="1">
          <reference field="4294967294" count="1" selected="0">
            <x v="2"/>
          </reference>
        </references>
      </pivotArea>
    </chartFormat>
    <chartFormat chart="7" format="12" series="1">
      <pivotArea type="data" outline="0" fieldPosition="0">
        <references count="1">
          <reference field="4294967294" count="1" selected="0">
            <x v="0"/>
          </reference>
        </references>
      </pivotArea>
    </chartFormat>
    <chartFormat chart="7" format="13" series="1">
      <pivotArea type="data" outline="0" fieldPosition="0">
        <references count="1">
          <reference field="4294967294" count="1" selected="0">
            <x v="2"/>
          </reference>
        </references>
      </pivotArea>
    </chartFormat>
    <chartFormat chart="7" format="14" series="1">
      <pivotArea type="data" outline="0" fieldPosition="0">
        <references count="1">
          <reference field="4294967294" count="1" selected="0">
            <x v="1"/>
          </reference>
        </references>
      </pivotArea>
    </chartFormat>
  </chartFormats>
  <pivotHierarchies count="25">
    <pivotHierarchy dragToData="1"/>
    <pivotHierarchy dragToData="1"/>
    <pivotHierarchy dragToData="1"/>
    <pivotHierarchy multipleItemSelectionAllowed="1" dragToData="1"/>
    <pivotHierarchy multipleItemSelectionAllowed="1"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2">
    <rowHierarchyUsage hierarchyUsage="14"/>
    <rowHierarchyUsage hierarchyUsage="13"/>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Clean_Data!$A$1:$P$81">
        <x15:activeTabTopLevelEntity name="[Rang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9D2D5434-CA6F-457A-B73E-0868FC98221D}" name="PivotTable1" cacheId="41" applyNumberFormats="0" applyBorderFormats="0" applyFontFormats="0" applyPatternFormats="0" applyAlignmentFormats="0" applyWidthHeightFormats="1" dataCaption="Values" updatedVersion="8" minRefreshableVersion="5" useAutoFormatting="1" subtotalHiddenItems="1" itemPrintTitles="1" createdVersion="8" indent="0" outline="1" outlineData="1" multipleFieldFilters="0">
  <location ref="A3:D4" firstHeaderRow="0" firstDataRow="1" firstDataCol="0"/>
  <pivotFields count="5">
    <pivotField dataField="1" subtotalTop="0" showAll="0" defaultSubtotal="0"/>
    <pivotField dataField="1" subtotalTop="0" showAll="0" defaultSubtotal="0"/>
    <pivotField dataField="1" subtotalTop="0" showAll="0" defaultSubtotal="0"/>
    <pivotField dataField="1" subtotalTop="0" showAll="0" defaultSubtotal="0"/>
    <pivotField allDrilled="1" subtotalTop="0" showAll="0" dataSourceSort="1" defaultSubtotal="0" defaultAttributeDrillState="1"/>
  </pivotFields>
  <rowItems count="1">
    <i/>
  </rowItems>
  <colFields count="1">
    <field x="-2"/>
  </colFields>
  <colItems count="4">
    <i>
      <x/>
    </i>
    <i i="1">
      <x v="1"/>
    </i>
    <i i="2">
      <x v="2"/>
    </i>
    <i i="3">
      <x v="3"/>
    </i>
  </colItems>
  <dataFields count="4">
    <dataField name="Sum of Sales" fld="0" baseField="0" baseItem="0"/>
    <dataField name="Sum of Cost" fld="1" baseField="0" baseItem="0"/>
    <dataField name="Sum of Profit" fld="2" baseField="0" baseItem="0"/>
    <dataField name="Count of Order_ID" fld="3" subtotal="count" baseField="0" baseItem="0"/>
  </dataFields>
  <pivotHierarchies count="25">
    <pivotHierarchy dragToData="1"/>
    <pivotHierarchy dragToData="1"/>
    <pivotHierarchy dragToData="1"/>
    <pivotHierarchy multipleItemSelectionAllowed="1" dragToData="1"/>
    <pivotHierarchy multipleItemSelectionAllowed="1"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Clean_Data!$A$1:$P$81">
        <x15:activeTabTopLevelEntity name="[Range]"/>
      </x15:pivotTableUISettings>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855EB2E2-2BA3-454E-8A6E-F97CDA05DA05}" sourceName="[Range].[Region]">
  <pivotTables>
    <pivotTable tabId="2" name="Profit By Product"/>
    <pivotTable tabId="2" name="Monthly Sales Trend"/>
    <pivotTable tabId="2" name="Monthly Sales vs Cost vs Profit"/>
    <pivotTable tabId="2" name="PivotTable1"/>
    <pivotTable tabId="2" name="PivotTable2"/>
    <pivotTable tabId="2" name="Sales By Product"/>
    <pivotTable tabId="2" name="Sales By Region"/>
  </pivotTables>
  <data>
    <olap pivotCacheId="1694109575">
      <levels count="2">
        <level uniqueName="[Range].[Region].[(All)]" sourceCaption="(All)" count="0"/>
        <level uniqueName="[Range].[Region].[Region]" sourceCaption="Region" count="5">
          <ranges>
            <range startItem="0">
              <i n="[Range].[Region].&amp;[East]" c="East"/>
              <i n="[Range].[Region].&amp;[North]" c="North"/>
              <i n="[Range].[Region].&amp;[South]" c="South"/>
              <i n="[Range].[Region].&amp;[Unknown]" c="Unknown"/>
              <i n="[Range].[Region].&amp;[West]" c="West"/>
            </range>
          </ranges>
        </level>
      </levels>
      <selections count="1">
        <selection n="[Range].[Region].[All]"/>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 xr10:uid="{D933E8DB-AF48-430C-A442-2C74E85A9904}" sourceName="[Range].[Product]">
  <pivotTables>
    <pivotTable tabId="2" name="Profit By Product"/>
    <pivotTable tabId="2" name="Monthly Sales Trend"/>
    <pivotTable tabId="2" name="Monthly Sales vs Cost vs Profit"/>
    <pivotTable tabId="2" name="PivotTable1"/>
    <pivotTable tabId="2" name="PivotTable2"/>
    <pivotTable tabId="2" name="Sales By Product"/>
    <pivotTable tabId="2" name="Sales By Region"/>
  </pivotTables>
  <data>
    <olap pivotCacheId="1694109575">
      <levels count="2">
        <level uniqueName="[Range].[Product].[(All)]" sourceCaption="(All)" count="0"/>
        <level uniqueName="[Range].[Product].[Product]" sourceCaption="Product" count="5">
          <ranges>
            <range startItem="0">
              <i n="[Range].[Product].&amp;[Headset]" c="Headset"/>
              <i n="[Range].[Product].&amp;[Keyboard]" c="Keyboard"/>
              <i n="[Range].[Product].&amp;[Laptop]" c="Laptop"/>
              <i n="[Range].[Product].&amp;[Monitor]" c="Monitor"/>
              <i n="[Range].[Product].&amp;[Mouse]" c="Mouse"/>
            </range>
          </ranges>
        </level>
      </levels>
      <selections count="1">
        <selection n="[Range].[Product].[All]"/>
      </selections>
    </olap>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ayment_Mode" xr10:uid="{6B3DDDD3-C5F3-4EA2-BEB4-D71714801DDD}" sourceName="[Range].[Payment_Mode]">
  <pivotTables>
    <pivotTable tabId="2" name="Sales By Product"/>
    <pivotTable tabId="2" name="Monthly Sales Trend"/>
    <pivotTable tabId="2" name="Monthly Sales vs Cost vs Profit"/>
    <pivotTable tabId="2" name="PivotTable1"/>
    <pivotTable tabId="2" name="PivotTable2"/>
    <pivotTable tabId="2" name="Profit By Product"/>
    <pivotTable tabId="2" name="Sales By Region"/>
  </pivotTables>
  <data>
    <olap pivotCacheId="1694109575">
      <levels count="2">
        <level uniqueName="[Range].[Payment_Mode].[(All)]" sourceCaption="(All)" count="0"/>
        <level uniqueName="[Range].[Payment_Mode].[Payment_Mode]" sourceCaption="Payment_Mode" count="4">
          <ranges>
            <range startItem="0">
              <i n="[Range].[Payment_Mode].&amp;[Card]" c="Card"/>
              <i n="[Range].[Payment_Mode].&amp;[Cash]" c="Cash"/>
              <i n="[Range].[Payment_Mode].&amp;[Net Banking]" c="Net Banking"/>
              <i n="[Range].[Payment_Mode].&amp;[UPI]" c="UPI"/>
            </range>
          </ranges>
        </level>
      </levels>
      <selections count="1">
        <selection n="[Range].[Payment_Mode].[All]"/>
      </selections>
    </olap>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A9FA9521-C52B-4168-BDF5-223E073CBE5A}" sourceName="[Range].[Category]">
  <pivotTables>
    <pivotTable tabId="2" name="Sales By Product"/>
    <pivotTable tabId="2" name="Monthly Sales Trend"/>
    <pivotTable tabId="2" name="Monthly Sales vs Cost vs Profit"/>
    <pivotTable tabId="2" name="PivotTable1"/>
    <pivotTable tabId="2" name="PivotTable2"/>
    <pivotTable tabId="2" name="Profit By Product"/>
    <pivotTable tabId="2" name="Sales By Region"/>
  </pivotTables>
  <data>
    <olap pivotCacheId="1694109575">
      <levels count="2">
        <level uniqueName="[Range].[Category].[(All)]" sourceCaption="(All)" count="0"/>
        <level uniqueName="[Range].[Category].[Category]" sourceCaption="Category" count="2">
          <ranges>
            <range startItem="0">
              <i n="[Range].[Category].&amp;[Accessories]" c="Accessories"/>
              <i n="[Range].[Category].&amp;[Electronics]" c="Electronics"/>
            </range>
          </ranges>
        </level>
      </levels>
      <selections count="1">
        <selection n="[Range].[Category].[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1" xr10:uid="{3B5BB161-F9BE-488E-BCFE-C93D1E4EBBE6}" cache="Slicer_Region" caption="Region" level="1" rowHeight="241300"/>
  <slicer name="Product 1" xr10:uid="{2D250ECE-326F-46F9-9291-13A0D546D795}" cache="Slicer_Product" caption="Product" level="1" rowHeight="241300"/>
  <slicer name="Payment_Mode 1" xr10:uid="{33248D2F-2D9D-4E45-8BD5-5E18F812B799}" cache="Slicer_Payment_Mode" caption="Payment_Mode" level="1" rowHeight="241300"/>
  <slicer name="Category 1" xr10:uid="{D30109AB-AFDE-4E29-8EE7-E9B9F39FFE18}" cache="Slicer_Category" caption="Category" level="1"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2" xr10:uid="{51D97C95-811A-45C6-9C09-26114B300F70}" cache="Slicer_Region" caption="Region" columnCount="3" level="1" style="SlicerStyleOther2" rowHeight="241300"/>
  <slicer name="Product 2" xr10:uid="{25EEE819-7D65-4DE3-97D4-559B51C726C6}" cache="Slicer_Product" caption="Product" columnCount="2" level="1" style="SlicerStyleOther2" rowHeight="241300"/>
  <slicer name="Payment_Mode 2" xr10:uid="{31BCA2C7-9F37-4F14-BBA7-C68CFC6AACB3}" cache="Slicer_Payment_Mode" caption="Payment_Mode" columnCount="2" level="1" style="SlicerStyleOther2" rowHeight="241300"/>
  <slicer name="Category 2" xr10:uid="{FD9255F9-8601-42D1-9F66-7184A2142E37}" cache="Slicer_Category" caption="Category" level="1" style="SlicerStyleOther2" rowHeight="241300"/>
</slicer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Timeline_Order_Date" xr10:uid="{C68C3EF9-3B8B-447C-B78E-8C184C179569}" sourceName="[Range].[Order_Date]">
  <pivotTables>
    <pivotTable tabId="2" name="Monthly Sales Trend"/>
    <pivotTable tabId="2" name="Monthly Sales vs Cost vs Profit"/>
    <pivotTable tabId="2" name="PivotTable1"/>
    <pivotTable tabId="2" name="PivotTable2"/>
    <pivotTable tabId="2" name="Profit By Product"/>
    <pivotTable tabId="2" name="Sales By Product"/>
    <pivotTable tabId="2" name="Sales By Region"/>
  </pivotTables>
  <state minimalRefreshVersion="6" lastRefreshVersion="6" pivotCacheId="1215635018" filterType="unknown">
    <bounds startDate="2026-01-01T00:00:00" endDate="2027-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Order_Date 1" xr10:uid="{EC741C12-BEE5-485C-A3FE-569710749C35}" cache="Timeline_Order_Date" caption="Order_Date" level="2" selectionLevel="2" scrollPosition="2026-05-19T00:00:00"/>
</timelines>
</file>

<file path=xl/timelines/timeline2.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Order_Date 2" xr10:uid="{42934CF6-51A0-4392-94EB-556851C9A94A}" cache="Timeline_Order_Date" caption="Order_Date" level="2" selectionLevel="2" scrollPosition="2026-05-19T00:00:00"/>
</timelines>
</file>

<file path=xl/worksheets/_rels/sheet1.xml.rels><?xml version="1.0" encoding="UTF-8" standalone="yes"?>
<Relationships xmlns="http://schemas.openxmlformats.org/package/2006/relationships"><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2.xml.rels><?xml version="1.0" encoding="UTF-8" standalone="yes"?>
<Relationships xmlns="http://schemas.openxmlformats.org/package/2006/relationships"><Relationship Id="rId3" Type="http://schemas.microsoft.com/office/2011/relationships/timeline" Target="../timelines/timeline1.xml"/><Relationship Id="rId2" Type="http://schemas.microsoft.com/office/2007/relationships/slicer" Target="../slicers/slicer1.xml"/><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3" Type="http://schemas.microsoft.com/office/2011/relationships/timeline" Target="../timelines/timeline2.xml"/><Relationship Id="rId2" Type="http://schemas.microsoft.com/office/2007/relationships/slicer" Target="../slicers/slicer2.xml"/><Relationship Id="rId1" Type="http://schemas.openxmlformats.org/officeDocument/2006/relationships/drawing" Target="../drawings/drawing2.xml"/></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A35117-1BF9-4C8D-9C91-1744185D7621}">
  <dimension ref="A3:P24"/>
  <sheetViews>
    <sheetView workbookViewId="0">
      <selection activeCell="G7" sqref="G7"/>
    </sheetView>
  </sheetViews>
  <sheetFormatPr defaultRowHeight="15" x14ac:dyDescent="0.25"/>
  <cols>
    <col min="1" max="1" width="12.140625" bestFit="1" customWidth="1"/>
    <col min="2" max="2" width="11.42578125" bestFit="1" customWidth="1"/>
    <col min="3" max="3" width="12.5703125" bestFit="1" customWidth="1"/>
    <col min="4" max="4" width="13.140625" bestFit="1" customWidth="1"/>
    <col min="5" max="5" width="12.140625" bestFit="1" customWidth="1"/>
    <col min="7" max="7" width="13.140625" bestFit="1" customWidth="1"/>
    <col min="8" max="9" width="12.5703125" bestFit="1" customWidth="1"/>
    <col min="10" max="10" width="13.140625" bestFit="1" customWidth="1"/>
    <col min="11" max="11" width="12.5703125" bestFit="1" customWidth="1"/>
    <col min="13" max="13" width="13.42578125" customWidth="1"/>
    <col min="14" max="14" width="13.7109375" customWidth="1"/>
    <col min="15" max="15" width="13" customWidth="1"/>
    <col min="16" max="16" width="12" customWidth="1"/>
  </cols>
  <sheetData>
    <row r="3" spans="1:16" x14ac:dyDescent="0.25">
      <c r="A3" t="s">
        <v>194</v>
      </c>
      <c r="B3" t="s">
        <v>195</v>
      </c>
      <c r="C3" t="s">
        <v>196</v>
      </c>
      <c r="D3" t="s">
        <v>197</v>
      </c>
      <c r="E3" t="s">
        <v>211</v>
      </c>
    </row>
    <row r="4" spans="1:16" x14ac:dyDescent="0.25">
      <c r="A4" s="12">
        <v>2629364.5499999998</v>
      </c>
      <c r="B4" s="12">
        <v>1849361.03</v>
      </c>
      <c r="C4" s="12">
        <v>780003.52</v>
      </c>
      <c r="D4" s="12">
        <v>80</v>
      </c>
      <c r="E4" s="12">
        <v>79</v>
      </c>
    </row>
    <row r="6" spans="1:16" x14ac:dyDescent="0.25">
      <c r="A6" t="s">
        <v>198</v>
      </c>
      <c r="B6" t="s">
        <v>199</v>
      </c>
      <c r="C6" t="s">
        <v>200</v>
      </c>
      <c r="D6" t="s">
        <v>201</v>
      </c>
      <c r="E6" t="s">
        <v>212</v>
      </c>
      <c r="G6" t="s">
        <v>213</v>
      </c>
    </row>
    <row r="7" spans="1:16" x14ac:dyDescent="0.25">
      <c r="A7" s="7">
        <f>GETPIVOTDATA("[Measures].[Sum of Sales]",$A$3)</f>
        <v>2629364.5499999998</v>
      </c>
      <c r="B7" s="7">
        <f>GETPIVOTDATA("[Measures].[Sum of Cost]",$A$3)</f>
        <v>1849361.03</v>
      </c>
      <c r="C7" s="7">
        <f>GETPIVOTDATA("[Measures].[Sum of Profit]",$A$3)</f>
        <v>780003.52</v>
      </c>
      <c r="D7">
        <f>GETPIVOTDATA("[Measures].[Count of Order_ID]",$A$3)</f>
        <v>80</v>
      </c>
      <c r="E7">
        <f>GETPIVOTDATA("[Measures].[Distinct Count of Customer]",$E$3)</f>
        <v>79</v>
      </c>
      <c r="G7" s="11">
        <f>C4/A4</f>
        <v>0.29665096078061903</v>
      </c>
    </row>
    <row r="11" spans="1:16" x14ac:dyDescent="0.25">
      <c r="A11" s="8" t="s">
        <v>202</v>
      </c>
      <c r="B11" t="s">
        <v>194</v>
      </c>
      <c r="C11" t="s">
        <v>210</v>
      </c>
      <c r="D11" s="8" t="s">
        <v>202</v>
      </c>
      <c r="E11" t="s">
        <v>194</v>
      </c>
      <c r="G11" s="8" t="s">
        <v>202</v>
      </c>
      <c r="H11" t="s">
        <v>196</v>
      </c>
      <c r="J11" s="8" t="s">
        <v>202</v>
      </c>
      <c r="K11" t="s">
        <v>194</v>
      </c>
      <c r="M11" s="8" t="s">
        <v>202</v>
      </c>
      <c r="N11" t="s">
        <v>194</v>
      </c>
      <c r="O11" t="s">
        <v>196</v>
      </c>
      <c r="P11" t="s">
        <v>195</v>
      </c>
    </row>
    <row r="12" spans="1:16" x14ac:dyDescent="0.25">
      <c r="A12" s="9">
        <v>1</v>
      </c>
      <c r="B12" s="12"/>
      <c r="C12" s="12"/>
      <c r="D12" s="9" t="s">
        <v>172</v>
      </c>
      <c r="E12" s="12">
        <v>109501.65</v>
      </c>
      <c r="G12" s="9" t="s">
        <v>172</v>
      </c>
      <c r="H12" s="12">
        <v>31980.18</v>
      </c>
      <c r="J12" s="9" t="s">
        <v>180</v>
      </c>
      <c r="K12" s="12">
        <v>650732.75</v>
      </c>
      <c r="M12" s="9">
        <v>1</v>
      </c>
      <c r="N12" s="12"/>
      <c r="O12" s="12"/>
      <c r="P12" s="12"/>
    </row>
    <row r="13" spans="1:16" x14ac:dyDescent="0.25">
      <c r="A13" s="10" t="s">
        <v>205</v>
      </c>
      <c r="B13" s="12">
        <v>177447.65</v>
      </c>
      <c r="C13" s="12">
        <v>177447.65</v>
      </c>
      <c r="D13" s="9" t="s">
        <v>173</v>
      </c>
      <c r="E13" s="12">
        <v>67251.3</v>
      </c>
      <c r="G13" s="9" t="s">
        <v>173</v>
      </c>
      <c r="H13" s="12">
        <v>21380.880000000001</v>
      </c>
      <c r="J13" s="9" t="s">
        <v>179</v>
      </c>
      <c r="K13" s="12">
        <v>496216.65</v>
      </c>
      <c r="M13" s="10" t="s">
        <v>205</v>
      </c>
      <c r="N13" s="12">
        <v>177447.65</v>
      </c>
      <c r="O13" s="12">
        <v>54666.28</v>
      </c>
      <c r="P13" s="12">
        <v>122781.37</v>
      </c>
    </row>
    <row r="14" spans="1:16" x14ac:dyDescent="0.25">
      <c r="A14" s="9">
        <v>2</v>
      </c>
      <c r="B14" s="12"/>
      <c r="C14" s="12"/>
      <c r="D14" s="9" t="s">
        <v>175</v>
      </c>
      <c r="E14" s="12">
        <v>1499972.4</v>
      </c>
      <c r="G14" s="9" t="s">
        <v>175</v>
      </c>
      <c r="H14" s="12">
        <v>458335.61</v>
      </c>
      <c r="J14" s="9" t="s">
        <v>182</v>
      </c>
      <c r="K14" s="12">
        <v>622693.85</v>
      </c>
      <c r="M14" s="9">
        <v>2</v>
      </c>
      <c r="N14" s="12"/>
      <c r="O14" s="12"/>
      <c r="P14" s="12"/>
    </row>
    <row r="15" spans="1:16" x14ac:dyDescent="0.25">
      <c r="A15" s="10" t="s">
        <v>204</v>
      </c>
      <c r="B15" s="12">
        <v>662610.15</v>
      </c>
      <c r="C15" s="12">
        <v>662610.15</v>
      </c>
      <c r="D15" s="9" t="s">
        <v>171</v>
      </c>
      <c r="E15" s="12">
        <v>879964.95</v>
      </c>
      <c r="G15" s="9" t="s">
        <v>171</v>
      </c>
      <c r="H15" s="12">
        <v>250328.43</v>
      </c>
      <c r="J15" s="9" t="s">
        <v>193</v>
      </c>
      <c r="K15" s="12">
        <v>1166.2</v>
      </c>
      <c r="M15" s="10" t="s">
        <v>204</v>
      </c>
      <c r="N15" s="12">
        <v>662610.15</v>
      </c>
      <c r="O15" s="12">
        <v>213652.36</v>
      </c>
      <c r="P15" s="12">
        <v>448957.79</v>
      </c>
    </row>
    <row r="16" spans="1:16" x14ac:dyDescent="0.25">
      <c r="A16" s="9">
        <v>3</v>
      </c>
      <c r="B16" s="12"/>
      <c r="C16" s="12"/>
      <c r="D16" s="9" t="s">
        <v>174</v>
      </c>
      <c r="E16" s="12">
        <v>72674.25</v>
      </c>
      <c r="G16" s="9" t="s">
        <v>174</v>
      </c>
      <c r="H16" s="12">
        <v>17978.419999999998</v>
      </c>
      <c r="J16" s="9" t="s">
        <v>181</v>
      </c>
      <c r="K16" s="12">
        <v>858555.1</v>
      </c>
      <c r="L16" t="s">
        <v>189</v>
      </c>
      <c r="M16" s="9">
        <v>3</v>
      </c>
      <c r="N16" s="12"/>
      <c r="O16" s="12"/>
      <c r="P16" s="12"/>
    </row>
    <row r="17" spans="1:16" x14ac:dyDescent="0.25">
      <c r="A17" s="10" t="s">
        <v>207</v>
      </c>
      <c r="B17" s="12">
        <v>411976.65</v>
      </c>
      <c r="C17" s="12">
        <v>411976.65</v>
      </c>
      <c r="D17" s="9" t="s">
        <v>209</v>
      </c>
      <c r="E17" s="12">
        <v>2629364.5499999998</v>
      </c>
      <c r="G17" s="9" t="s">
        <v>209</v>
      </c>
      <c r="H17" s="12">
        <v>780003.52</v>
      </c>
      <c r="J17" s="9" t="s">
        <v>209</v>
      </c>
      <c r="K17" s="12">
        <v>2629364.5499999998</v>
      </c>
      <c r="M17" s="10" t="s">
        <v>207</v>
      </c>
      <c r="N17" s="12">
        <v>411976.65</v>
      </c>
      <c r="O17" s="12">
        <v>129291.87</v>
      </c>
      <c r="P17" s="12">
        <v>282684.78000000003</v>
      </c>
    </row>
    <row r="18" spans="1:16" x14ac:dyDescent="0.25">
      <c r="A18" s="9">
        <v>4</v>
      </c>
      <c r="B18" s="12"/>
      <c r="C18" s="12"/>
      <c r="M18" s="9">
        <v>4</v>
      </c>
      <c r="N18" s="12"/>
      <c r="O18" s="12"/>
      <c r="P18" s="12"/>
    </row>
    <row r="19" spans="1:16" x14ac:dyDescent="0.25">
      <c r="A19" s="10" t="s">
        <v>203</v>
      </c>
      <c r="B19" s="12">
        <v>496053.4</v>
      </c>
      <c r="C19" s="12">
        <v>496053.4</v>
      </c>
      <c r="M19" s="10" t="s">
        <v>203</v>
      </c>
      <c r="N19" s="12">
        <v>496053.4</v>
      </c>
      <c r="O19" s="12">
        <v>141481.59</v>
      </c>
      <c r="P19" s="12">
        <v>354571.81</v>
      </c>
    </row>
    <row r="20" spans="1:16" x14ac:dyDescent="0.25">
      <c r="A20" s="9">
        <v>5</v>
      </c>
      <c r="B20" s="12"/>
      <c r="C20" s="12"/>
      <c r="M20" s="9">
        <v>5</v>
      </c>
      <c r="N20" s="12"/>
      <c r="O20" s="12"/>
      <c r="P20" s="12"/>
    </row>
    <row r="21" spans="1:16" x14ac:dyDescent="0.25">
      <c r="A21" s="10" t="s">
        <v>208</v>
      </c>
      <c r="B21" s="12">
        <v>265665.5</v>
      </c>
      <c r="C21" s="12">
        <v>265665.5</v>
      </c>
      <c r="M21" s="10" t="s">
        <v>208</v>
      </c>
      <c r="N21" s="12">
        <v>265665.5</v>
      </c>
      <c r="O21" s="12">
        <v>72112.22</v>
      </c>
      <c r="P21" s="12">
        <v>193553.28</v>
      </c>
    </row>
    <row r="22" spans="1:16" x14ac:dyDescent="0.25">
      <c r="A22" s="9">
        <v>6</v>
      </c>
      <c r="B22" s="12"/>
      <c r="C22" s="12"/>
      <c r="K22" t="s">
        <v>189</v>
      </c>
      <c r="M22" s="9">
        <v>6</v>
      </c>
      <c r="N22" s="12"/>
      <c r="O22" s="12"/>
      <c r="P22" s="12"/>
    </row>
    <row r="23" spans="1:16" x14ac:dyDescent="0.25">
      <c r="A23" s="10" t="s">
        <v>206</v>
      </c>
      <c r="B23" s="12">
        <v>615611.19999999995</v>
      </c>
      <c r="C23" s="12">
        <v>615611.19999999995</v>
      </c>
      <c r="M23" s="10" t="s">
        <v>206</v>
      </c>
      <c r="N23" s="12">
        <v>615611.19999999995</v>
      </c>
      <c r="O23" s="12">
        <v>168799.2</v>
      </c>
      <c r="P23" s="12">
        <v>446812</v>
      </c>
    </row>
    <row r="24" spans="1:16" x14ac:dyDescent="0.25">
      <c r="A24" s="9" t="s">
        <v>209</v>
      </c>
      <c r="B24" s="12">
        <v>2629364.5499999998</v>
      </c>
      <c r="C24" s="12">
        <v>2629364.5499999998</v>
      </c>
      <c r="M24" s="9" t="s">
        <v>209</v>
      </c>
      <c r="N24" s="12">
        <v>2629364.5499999998</v>
      </c>
      <c r="O24" s="12">
        <v>780003.52</v>
      </c>
      <c r="P24" s="12">
        <v>1849361.03</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959C37-6483-4BB8-9A36-959D081C6F2F}">
  <dimension ref="A1"/>
  <sheetViews>
    <sheetView zoomScale="80" zoomScaleNormal="80" workbookViewId="0">
      <selection activeCell="X14" sqref="X14"/>
    </sheetView>
  </sheetViews>
  <sheetFormatPr defaultRowHeight="15" x14ac:dyDescent="0.25"/>
  <sheetData/>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7BF7E5-A4C3-461A-AB9F-CAA47450A8CD}">
  <dimension ref="R5"/>
  <sheetViews>
    <sheetView showGridLines="0" tabSelected="1" zoomScale="70" zoomScaleNormal="70" workbookViewId="0">
      <selection activeCell="U22" sqref="U22"/>
    </sheetView>
  </sheetViews>
  <sheetFormatPr defaultRowHeight="15" x14ac:dyDescent="0.25"/>
  <cols>
    <col min="1" max="1" width="25.140625" bestFit="1" customWidth="1"/>
  </cols>
  <sheetData>
    <row r="5" spans="18:18" x14ac:dyDescent="0.25">
      <c r="R5" s="4"/>
    </row>
  </sheetData>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R81"/>
  <sheetViews>
    <sheetView workbookViewId="0">
      <selection activeCell="P2" sqref="P2"/>
    </sheetView>
  </sheetViews>
  <sheetFormatPr defaultRowHeight="15" x14ac:dyDescent="0.25"/>
  <cols>
    <col min="1" max="1" width="12" style="4" customWidth="1"/>
    <col min="2" max="2" width="22.85546875" style="5" customWidth="1"/>
    <col min="3" max="4" width="9.140625" style="4"/>
    <col min="5" max="5" width="12.28515625" style="4" customWidth="1"/>
    <col min="6" max="7" width="9.140625" style="4"/>
    <col min="8" max="8" width="13.7109375" style="4" customWidth="1"/>
    <col min="9" max="9" width="12.7109375" style="4" customWidth="1"/>
    <col min="10" max="10" width="15.7109375" style="4" customWidth="1"/>
    <col min="11" max="12" width="9.140625" style="4"/>
    <col min="13" max="13" width="10.28515625" style="4" customWidth="1"/>
    <col min="14" max="14" width="10.85546875" style="4" customWidth="1"/>
    <col min="15" max="15" width="12.28515625" style="4" customWidth="1"/>
    <col min="16" max="16" width="17.7109375" style="4" customWidth="1"/>
  </cols>
  <sheetData>
    <row r="1" spans="1:18" x14ac:dyDescent="0.25">
      <c r="A1" s="1" t="s">
        <v>0</v>
      </c>
      <c r="B1" s="3" t="s">
        <v>1</v>
      </c>
      <c r="C1" s="1" t="s">
        <v>2</v>
      </c>
      <c r="D1" s="1" t="s">
        <v>3</v>
      </c>
      <c r="E1" s="1" t="s">
        <v>4</v>
      </c>
      <c r="F1" s="1" t="s">
        <v>5</v>
      </c>
      <c r="G1" s="1" t="s">
        <v>6</v>
      </c>
      <c r="H1" s="1" t="s">
        <v>7</v>
      </c>
      <c r="I1" s="1" t="s">
        <v>8</v>
      </c>
      <c r="J1" s="1" t="s">
        <v>9</v>
      </c>
      <c r="K1" s="1" t="s">
        <v>10</v>
      </c>
      <c r="L1" s="1" t="s">
        <v>11</v>
      </c>
      <c r="M1" s="1" t="s">
        <v>12</v>
      </c>
      <c r="N1" s="2" t="s">
        <v>190</v>
      </c>
      <c r="O1" s="2" t="s">
        <v>191</v>
      </c>
      <c r="P1" s="2" t="s">
        <v>192</v>
      </c>
    </row>
    <row r="2" spans="1:18" x14ac:dyDescent="0.25">
      <c r="A2" s="4" t="s">
        <v>13</v>
      </c>
      <c r="B2" s="5">
        <v>46023</v>
      </c>
      <c r="C2" s="4" t="s">
        <v>93</v>
      </c>
      <c r="D2" s="4" t="s">
        <v>171</v>
      </c>
      <c r="E2" s="4" t="s">
        <v>177</v>
      </c>
      <c r="F2" s="4" t="s">
        <v>179</v>
      </c>
      <c r="G2" s="4">
        <v>3</v>
      </c>
      <c r="H2" s="4">
        <v>13962</v>
      </c>
      <c r="I2" s="4">
        <v>0</v>
      </c>
      <c r="J2" s="4" t="s">
        <v>183</v>
      </c>
      <c r="K2" s="4">
        <v>41886</v>
      </c>
      <c r="L2" s="4">
        <v>28238.14</v>
      </c>
      <c r="M2" s="4">
        <v>13647.86</v>
      </c>
      <c r="N2" s="4" t="str">
        <f>TEXT(B2,"MMM")</f>
        <v>Jan</v>
      </c>
      <c r="O2" s="4">
        <f>MONTH(B2)</f>
        <v>1</v>
      </c>
      <c r="P2" s="6">
        <f>M2/K2</f>
        <v>0.32583345270496111</v>
      </c>
    </row>
    <row r="3" spans="1:18" x14ac:dyDescent="0.25">
      <c r="A3" s="4" t="s">
        <v>14</v>
      </c>
      <c r="B3" s="5">
        <v>46025.278481012647</v>
      </c>
      <c r="C3" s="4" t="s">
        <v>94</v>
      </c>
      <c r="D3" s="4" t="s">
        <v>172</v>
      </c>
      <c r="E3" s="4" t="s">
        <v>178</v>
      </c>
      <c r="F3" s="4" t="s">
        <v>179</v>
      </c>
      <c r="G3" s="4">
        <v>1</v>
      </c>
      <c r="H3" s="4">
        <v>3480</v>
      </c>
      <c r="I3" s="4">
        <v>5</v>
      </c>
      <c r="J3" s="4" t="s">
        <v>184</v>
      </c>
      <c r="K3" s="4">
        <v>3306</v>
      </c>
      <c r="L3" s="4">
        <v>2339.9699999999998</v>
      </c>
      <c r="M3" s="4">
        <v>966.03</v>
      </c>
      <c r="N3" s="4" t="str">
        <f t="shared" ref="N3:N66" si="0">TEXT(B3,"MMM")</f>
        <v>Jan</v>
      </c>
      <c r="O3" s="4">
        <f t="shared" ref="O3:O66" si="1">MONTH(B3)</f>
        <v>1</v>
      </c>
      <c r="P3" s="6">
        <f t="shared" ref="P3:P66" si="2">M3/K3</f>
        <v>0.29220508166969145</v>
      </c>
    </row>
    <row r="4" spans="1:18" x14ac:dyDescent="0.25">
      <c r="A4" s="4" t="s">
        <v>15</v>
      </c>
      <c r="B4" s="5">
        <v>46027.556962025323</v>
      </c>
      <c r="C4" s="4" t="s">
        <v>95</v>
      </c>
      <c r="D4" s="4" t="s">
        <v>173</v>
      </c>
      <c r="E4" s="4" t="s">
        <v>178</v>
      </c>
      <c r="F4" s="4" t="s">
        <v>179</v>
      </c>
      <c r="G4" s="4">
        <v>2</v>
      </c>
      <c r="H4" s="4">
        <v>2160</v>
      </c>
      <c r="I4" s="4">
        <v>10</v>
      </c>
      <c r="J4" s="4" t="s">
        <v>183</v>
      </c>
      <c r="K4" s="4">
        <v>3888</v>
      </c>
      <c r="L4" s="4">
        <v>2471.5700000000002</v>
      </c>
      <c r="M4" s="4">
        <v>1416.43</v>
      </c>
      <c r="N4" s="4" t="str">
        <f t="shared" si="0"/>
        <v>Jan</v>
      </c>
      <c r="O4" s="4">
        <f t="shared" si="1"/>
        <v>1</v>
      </c>
      <c r="P4" s="6">
        <f>M4/K4</f>
        <v>0.36430812757201647</v>
      </c>
      <c r="R4" t="s">
        <v>189</v>
      </c>
    </row>
    <row r="5" spans="1:18" x14ac:dyDescent="0.25">
      <c r="A5" s="4" t="s">
        <v>16</v>
      </c>
      <c r="B5" s="5">
        <v>46029.835443037977</v>
      </c>
      <c r="C5" s="4" t="s">
        <v>96</v>
      </c>
      <c r="D5" s="4" t="s">
        <v>172</v>
      </c>
      <c r="E5" s="4" t="s">
        <v>178</v>
      </c>
      <c r="F5" s="4" t="s">
        <v>182</v>
      </c>
      <c r="G5" s="4">
        <v>2</v>
      </c>
      <c r="H5" s="4">
        <v>3379</v>
      </c>
      <c r="I5" s="4">
        <v>5</v>
      </c>
      <c r="J5" s="4" t="s">
        <v>183</v>
      </c>
      <c r="K5" s="4">
        <v>6420.1</v>
      </c>
      <c r="L5" s="4">
        <v>4013.01</v>
      </c>
      <c r="M5" s="4">
        <v>2407.09</v>
      </c>
      <c r="N5" s="4" t="str">
        <f t="shared" si="0"/>
        <v>Jan</v>
      </c>
      <c r="O5" s="4">
        <f t="shared" si="1"/>
        <v>1</v>
      </c>
      <c r="P5" s="6">
        <f t="shared" si="2"/>
        <v>0.37493029703587172</v>
      </c>
    </row>
    <row r="6" spans="1:18" x14ac:dyDescent="0.25">
      <c r="A6" s="4" t="s">
        <v>17</v>
      </c>
      <c r="B6" s="5">
        <v>46032.113924050624</v>
      </c>
      <c r="C6" s="4" t="s">
        <v>97</v>
      </c>
      <c r="D6" s="4" t="s">
        <v>172</v>
      </c>
      <c r="E6" s="4" t="s">
        <v>178</v>
      </c>
      <c r="F6" s="4" t="s">
        <v>179</v>
      </c>
      <c r="G6" s="4">
        <v>4</v>
      </c>
      <c r="H6" s="4">
        <v>3197</v>
      </c>
      <c r="I6" s="4">
        <v>10</v>
      </c>
      <c r="J6" s="4" t="s">
        <v>184</v>
      </c>
      <c r="K6" s="4">
        <v>11509.2</v>
      </c>
      <c r="L6" s="4">
        <v>9351.57</v>
      </c>
      <c r="M6" s="4">
        <v>2157.63</v>
      </c>
      <c r="N6" s="4" t="str">
        <f t="shared" si="0"/>
        <v>Jan</v>
      </c>
      <c r="O6" s="4">
        <f t="shared" si="1"/>
        <v>1</v>
      </c>
      <c r="P6" s="6">
        <f t="shared" si="2"/>
        <v>0.18747002398081536</v>
      </c>
    </row>
    <row r="7" spans="1:18" x14ac:dyDescent="0.25">
      <c r="A7" s="4" t="s">
        <v>18</v>
      </c>
      <c r="B7" s="5">
        <v>46034.392405063278</v>
      </c>
      <c r="C7" s="4" t="s">
        <v>98</v>
      </c>
      <c r="D7" s="4" t="s">
        <v>174</v>
      </c>
      <c r="E7" s="4" t="s">
        <v>178</v>
      </c>
      <c r="F7" s="4" t="s">
        <v>179</v>
      </c>
      <c r="G7" s="4">
        <v>5</v>
      </c>
      <c r="H7" s="4">
        <v>1276</v>
      </c>
      <c r="I7" s="4">
        <v>5</v>
      </c>
      <c r="J7" s="4" t="s">
        <v>185</v>
      </c>
      <c r="K7" s="4">
        <v>6061</v>
      </c>
      <c r="L7" s="4">
        <v>4771.2</v>
      </c>
      <c r="M7" s="4">
        <v>1289.8</v>
      </c>
      <c r="N7" s="4" t="str">
        <f t="shared" si="0"/>
        <v>Jan</v>
      </c>
      <c r="O7" s="4">
        <f t="shared" si="1"/>
        <v>1</v>
      </c>
      <c r="P7" s="6">
        <f t="shared" si="2"/>
        <v>0.21280316779409339</v>
      </c>
      <c r="R7" t="s">
        <v>189</v>
      </c>
    </row>
    <row r="8" spans="1:18" x14ac:dyDescent="0.25">
      <c r="A8" s="4" t="s">
        <v>19</v>
      </c>
      <c r="B8" s="5">
        <v>46036.670886075954</v>
      </c>
      <c r="C8" s="4" t="s">
        <v>99</v>
      </c>
      <c r="D8" s="4" t="s">
        <v>173</v>
      </c>
      <c r="E8" s="4" t="s">
        <v>178</v>
      </c>
      <c r="F8" s="4" t="s">
        <v>179</v>
      </c>
      <c r="G8" s="4">
        <v>1</v>
      </c>
      <c r="H8" s="4">
        <v>2503</v>
      </c>
      <c r="I8" s="4">
        <v>0</v>
      </c>
      <c r="J8" s="4" t="s">
        <v>184</v>
      </c>
      <c r="K8" s="4">
        <v>2503</v>
      </c>
      <c r="L8" s="4">
        <v>1900.26</v>
      </c>
      <c r="M8" s="4">
        <v>602.74</v>
      </c>
      <c r="N8" s="4" t="str">
        <f t="shared" si="0"/>
        <v>Jan</v>
      </c>
      <c r="O8" s="4">
        <f t="shared" si="1"/>
        <v>1</v>
      </c>
      <c r="P8" s="6">
        <f t="shared" si="2"/>
        <v>0.24080703156212546</v>
      </c>
    </row>
    <row r="9" spans="1:18" x14ac:dyDescent="0.25">
      <c r="A9" s="4" t="s">
        <v>20</v>
      </c>
      <c r="B9" s="5">
        <v>46038.9493670886</v>
      </c>
      <c r="C9" s="4" t="s">
        <v>100</v>
      </c>
      <c r="D9" s="4" t="s">
        <v>173</v>
      </c>
      <c r="E9" s="4" t="s">
        <v>178</v>
      </c>
      <c r="F9" s="4" t="s">
        <v>180</v>
      </c>
      <c r="G9" s="4">
        <v>1</v>
      </c>
      <c r="H9" s="4">
        <v>2391</v>
      </c>
      <c r="I9" s="4">
        <v>15</v>
      </c>
      <c r="J9" s="4" t="s">
        <v>185</v>
      </c>
      <c r="K9" s="4">
        <v>2032.35</v>
      </c>
      <c r="L9" s="4">
        <v>1426.28</v>
      </c>
      <c r="M9" s="4">
        <v>606.07000000000005</v>
      </c>
      <c r="N9" s="4" t="str">
        <f t="shared" si="0"/>
        <v>Jan</v>
      </c>
      <c r="O9" s="4">
        <f t="shared" si="1"/>
        <v>1</v>
      </c>
      <c r="P9" s="6">
        <f t="shared" si="2"/>
        <v>0.2982114301178439</v>
      </c>
    </row>
    <row r="10" spans="1:18" x14ac:dyDescent="0.25">
      <c r="A10" s="4" t="s">
        <v>21</v>
      </c>
      <c r="B10" s="5">
        <v>46041.227848101262</v>
      </c>
      <c r="C10" s="4" t="s">
        <v>101</v>
      </c>
      <c r="D10" s="4" t="s">
        <v>173</v>
      </c>
      <c r="E10" s="4" t="s">
        <v>178</v>
      </c>
      <c r="F10" s="4" t="s">
        <v>179</v>
      </c>
      <c r="G10" s="4">
        <v>3</v>
      </c>
      <c r="H10" s="4">
        <v>2134</v>
      </c>
      <c r="I10" s="4">
        <v>0</v>
      </c>
      <c r="J10" s="4" t="s">
        <v>184</v>
      </c>
      <c r="K10" s="4">
        <v>6402</v>
      </c>
      <c r="L10" s="4">
        <v>4191.13</v>
      </c>
      <c r="M10" s="4">
        <v>2210.87</v>
      </c>
      <c r="N10" s="4" t="str">
        <f t="shared" si="0"/>
        <v>Jan</v>
      </c>
      <c r="O10" s="4">
        <f t="shared" si="1"/>
        <v>1</v>
      </c>
      <c r="P10" s="6">
        <f t="shared" si="2"/>
        <v>0.34534051858794124</v>
      </c>
    </row>
    <row r="11" spans="1:18" x14ac:dyDescent="0.25">
      <c r="A11" s="4" t="s">
        <v>22</v>
      </c>
      <c r="B11" s="5">
        <v>46043.506329113923</v>
      </c>
      <c r="C11" s="4" t="s">
        <v>102</v>
      </c>
      <c r="D11" s="4" t="s">
        <v>172</v>
      </c>
      <c r="E11" s="4" t="s">
        <v>178</v>
      </c>
      <c r="F11" s="4" t="s">
        <v>181</v>
      </c>
      <c r="G11" s="4">
        <v>2</v>
      </c>
      <c r="H11" s="4">
        <v>2994</v>
      </c>
      <c r="I11" s="4">
        <v>15</v>
      </c>
      <c r="J11" s="4" t="s">
        <v>183</v>
      </c>
      <c r="K11" s="4">
        <v>5089.8</v>
      </c>
      <c r="L11" s="4">
        <v>3314.92</v>
      </c>
      <c r="M11" s="4">
        <v>1774.88</v>
      </c>
      <c r="N11" s="4" t="str">
        <f t="shared" si="0"/>
        <v>Jan</v>
      </c>
      <c r="O11" s="4">
        <f t="shared" si="1"/>
        <v>1</v>
      </c>
      <c r="P11" s="6">
        <f t="shared" si="2"/>
        <v>0.34871311249950881</v>
      </c>
    </row>
    <row r="12" spans="1:18" x14ac:dyDescent="0.25">
      <c r="A12" s="4" t="s">
        <v>23</v>
      </c>
      <c r="B12" s="5">
        <v>46045.784810126577</v>
      </c>
      <c r="C12" s="4" t="s">
        <v>103</v>
      </c>
      <c r="D12" s="4" t="s">
        <v>171</v>
      </c>
      <c r="E12" s="4" t="s">
        <v>177</v>
      </c>
      <c r="F12" s="4" t="s">
        <v>179</v>
      </c>
      <c r="G12" s="4">
        <v>5</v>
      </c>
      <c r="H12" s="4">
        <v>14200</v>
      </c>
      <c r="I12" s="4">
        <v>5</v>
      </c>
      <c r="J12" s="4" t="s">
        <v>183</v>
      </c>
      <c r="K12" s="4">
        <v>67450</v>
      </c>
      <c r="L12" s="4">
        <v>45194.78</v>
      </c>
      <c r="M12" s="4">
        <v>22255.22</v>
      </c>
      <c r="N12" s="4" t="str">
        <f t="shared" si="0"/>
        <v>Jan</v>
      </c>
      <c r="O12" s="4">
        <f t="shared" si="1"/>
        <v>1</v>
      </c>
      <c r="P12" s="6">
        <f t="shared" si="2"/>
        <v>0.329951371386212</v>
      </c>
    </row>
    <row r="13" spans="1:18" x14ac:dyDescent="0.25">
      <c r="A13" s="4" t="s">
        <v>24</v>
      </c>
      <c r="B13" s="5">
        <v>46048.063291139239</v>
      </c>
      <c r="C13" s="4" t="s">
        <v>104</v>
      </c>
      <c r="D13" s="4" t="s">
        <v>173</v>
      </c>
      <c r="E13" s="4" t="s">
        <v>178</v>
      </c>
      <c r="F13" s="4" t="s">
        <v>181</v>
      </c>
      <c r="G13" s="4">
        <v>4</v>
      </c>
      <c r="H13" s="4">
        <v>2639</v>
      </c>
      <c r="I13" s="4">
        <v>10</v>
      </c>
      <c r="J13" s="4" t="s">
        <v>186</v>
      </c>
      <c r="K13" s="4">
        <v>9500.4</v>
      </c>
      <c r="L13" s="4">
        <v>6933.82</v>
      </c>
      <c r="M13" s="4">
        <v>2566.58</v>
      </c>
      <c r="N13" s="4" t="str">
        <f t="shared" si="0"/>
        <v>Jan</v>
      </c>
      <c r="O13" s="4">
        <f t="shared" si="1"/>
        <v>1</v>
      </c>
      <c r="P13" s="6">
        <f t="shared" si="2"/>
        <v>0.27015494084459601</v>
      </c>
    </row>
    <row r="14" spans="1:18" x14ac:dyDescent="0.25">
      <c r="A14" s="4" t="s">
        <v>25</v>
      </c>
      <c r="B14" s="5">
        <v>46050.3417721519</v>
      </c>
      <c r="C14" s="4" t="s">
        <v>105</v>
      </c>
      <c r="D14" s="4" t="s">
        <v>172</v>
      </c>
      <c r="E14" s="4" t="s">
        <v>178</v>
      </c>
      <c r="F14" s="4" t="s">
        <v>181</v>
      </c>
      <c r="G14" s="4">
        <v>2</v>
      </c>
      <c r="H14" s="4">
        <v>2832</v>
      </c>
      <c r="I14" s="4">
        <v>0</v>
      </c>
      <c r="J14" s="4" t="s">
        <v>185</v>
      </c>
      <c r="K14" s="4">
        <v>5664</v>
      </c>
      <c r="L14" s="4">
        <v>4321.17</v>
      </c>
      <c r="M14" s="4">
        <v>1342.83</v>
      </c>
      <c r="N14" s="4" t="str">
        <f t="shared" si="0"/>
        <v>Jan</v>
      </c>
      <c r="O14" s="4">
        <f t="shared" si="1"/>
        <v>1</v>
      </c>
      <c r="P14" s="6">
        <f t="shared" si="2"/>
        <v>0.23708156779661016</v>
      </c>
    </row>
    <row r="15" spans="1:18" x14ac:dyDescent="0.25">
      <c r="A15" s="4" t="s">
        <v>26</v>
      </c>
      <c r="B15" s="5">
        <v>46052.620253164547</v>
      </c>
      <c r="C15" s="4" t="s">
        <v>106</v>
      </c>
      <c r="D15" s="4" t="s">
        <v>174</v>
      </c>
      <c r="E15" s="4" t="s">
        <v>178</v>
      </c>
      <c r="F15" s="4" t="s">
        <v>181</v>
      </c>
      <c r="G15" s="4">
        <v>4</v>
      </c>
      <c r="H15" s="4">
        <v>1687</v>
      </c>
      <c r="I15" s="4">
        <v>15</v>
      </c>
      <c r="J15" s="4" t="s">
        <v>186</v>
      </c>
      <c r="K15" s="4">
        <v>5735.8</v>
      </c>
      <c r="L15" s="4">
        <v>4313.55</v>
      </c>
      <c r="M15" s="4">
        <v>1422.25</v>
      </c>
      <c r="N15" s="4" t="str">
        <f t="shared" si="0"/>
        <v>Jan</v>
      </c>
      <c r="O15" s="4">
        <f t="shared" si="1"/>
        <v>1</v>
      </c>
      <c r="P15" s="6">
        <f t="shared" si="2"/>
        <v>0.24796017992259142</v>
      </c>
    </row>
    <row r="16" spans="1:18" x14ac:dyDescent="0.25">
      <c r="A16" s="4" t="s">
        <v>27</v>
      </c>
      <c r="B16" s="5">
        <v>46054.898734177208</v>
      </c>
      <c r="C16" s="4" t="s">
        <v>107</v>
      </c>
      <c r="D16" s="4" t="s">
        <v>171</v>
      </c>
      <c r="E16" s="4" t="s">
        <v>177</v>
      </c>
      <c r="F16" s="4" t="s">
        <v>180</v>
      </c>
      <c r="G16" s="4">
        <v>3</v>
      </c>
      <c r="H16" s="4">
        <v>14259</v>
      </c>
      <c r="I16" s="4">
        <v>0</v>
      </c>
      <c r="J16" s="4" t="s">
        <v>186</v>
      </c>
      <c r="K16" s="4">
        <v>42777</v>
      </c>
      <c r="L16" s="4">
        <v>28916.69</v>
      </c>
      <c r="M16" s="4">
        <v>13860.31</v>
      </c>
      <c r="N16" s="4" t="str">
        <f t="shared" si="0"/>
        <v>Feb</v>
      </c>
      <c r="O16" s="4">
        <f t="shared" si="1"/>
        <v>2</v>
      </c>
      <c r="P16" s="6">
        <f t="shared" si="2"/>
        <v>0.32401313790120856</v>
      </c>
    </row>
    <row r="17" spans="1:16" x14ac:dyDescent="0.25">
      <c r="A17" s="4" t="s">
        <v>28</v>
      </c>
      <c r="B17" s="5">
        <v>46057.177215189869</v>
      </c>
      <c r="C17" s="4" t="s">
        <v>188</v>
      </c>
      <c r="D17" s="4" t="s">
        <v>174</v>
      </c>
      <c r="E17" s="4" t="s">
        <v>178</v>
      </c>
      <c r="F17" s="4" t="s">
        <v>180</v>
      </c>
      <c r="G17" s="4">
        <v>3</v>
      </c>
      <c r="H17" s="4">
        <v>1469</v>
      </c>
      <c r="I17" s="4">
        <v>15</v>
      </c>
      <c r="J17" s="4" t="s">
        <v>184</v>
      </c>
      <c r="K17" s="4">
        <v>3745.95</v>
      </c>
      <c r="L17" s="4">
        <v>3037.86</v>
      </c>
      <c r="M17" s="4">
        <v>708.09</v>
      </c>
      <c r="N17" s="4" t="str">
        <f t="shared" si="0"/>
        <v>Feb</v>
      </c>
      <c r="O17" s="4">
        <f t="shared" si="1"/>
        <v>2</v>
      </c>
      <c r="P17" s="6">
        <f t="shared" si="2"/>
        <v>0.18902815040243465</v>
      </c>
    </row>
    <row r="18" spans="1:16" x14ac:dyDescent="0.25">
      <c r="A18" s="4" t="s">
        <v>29</v>
      </c>
      <c r="B18" s="5">
        <v>46059.455696202524</v>
      </c>
      <c r="C18" s="4" t="s">
        <v>108</v>
      </c>
      <c r="D18" s="4" t="s">
        <v>171</v>
      </c>
      <c r="E18" s="4" t="s">
        <v>177</v>
      </c>
      <c r="F18" s="4" t="s">
        <v>180</v>
      </c>
      <c r="G18" s="4">
        <v>1</v>
      </c>
      <c r="H18" s="4">
        <v>14174</v>
      </c>
      <c r="I18" s="4">
        <v>0</v>
      </c>
      <c r="J18" s="4" t="s">
        <v>186</v>
      </c>
      <c r="K18" s="4">
        <v>14174</v>
      </c>
      <c r="L18" s="4">
        <v>10879.67</v>
      </c>
      <c r="M18" s="4">
        <v>3294.33</v>
      </c>
      <c r="N18" s="4" t="str">
        <f t="shared" si="0"/>
        <v>Feb</v>
      </c>
      <c r="O18" s="4">
        <f t="shared" si="1"/>
        <v>2</v>
      </c>
      <c r="P18" s="6">
        <f t="shared" si="2"/>
        <v>0.23242062932129251</v>
      </c>
    </row>
    <row r="19" spans="1:16" x14ac:dyDescent="0.25">
      <c r="A19" s="4" t="s">
        <v>30</v>
      </c>
      <c r="B19" s="5">
        <v>46061.734177215178</v>
      </c>
      <c r="C19" s="4" t="s">
        <v>109</v>
      </c>
      <c r="D19" s="4" t="s">
        <v>172</v>
      </c>
      <c r="E19" s="4" t="s">
        <v>178</v>
      </c>
      <c r="F19" s="4" t="s">
        <v>179</v>
      </c>
      <c r="G19" s="4">
        <v>5</v>
      </c>
      <c r="H19" s="4">
        <v>2821</v>
      </c>
      <c r="I19" s="4">
        <v>15</v>
      </c>
      <c r="J19" s="4" t="s">
        <v>184</v>
      </c>
      <c r="K19" s="4">
        <v>11989.25</v>
      </c>
      <c r="L19" s="4">
        <v>8762.59</v>
      </c>
      <c r="M19" s="4">
        <v>3226.66</v>
      </c>
      <c r="N19" s="4" t="str">
        <f t="shared" si="0"/>
        <v>Feb</v>
      </c>
      <c r="O19" s="4">
        <f t="shared" si="1"/>
        <v>2</v>
      </c>
      <c r="P19" s="6">
        <f t="shared" si="2"/>
        <v>0.26912942844631649</v>
      </c>
    </row>
    <row r="20" spans="1:16" x14ac:dyDescent="0.25">
      <c r="A20" s="4" t="s">
        <v>31</v>
      </c>
      <c r="B20" s="5">
        <v>46064.012658227854</v>
      </c>
      <c r="C20" s="4" t="s">
        <v>110</v>
      </c>
      <c r="D20" s="4" t="s">
        <v>175</v>
      </c>
      <c r="E20" s="4" t="s">
        <v>177</v>
      </c>
      <c r="F20" s="4" t="s">
        <v>181</v>
      </c>
      <c r="G20" s="4">
        <v>4</v>
      </c>
      <c r="H20" s="4">
        <v>55469</v>
      </c>
      <c r="I20" s="4">
        <v>15</v>
      </c>
      <c r="J20" s="4" t="s">
        <v>184</v>
      </c>
      <c r="K20" s="4">
        <v>188594.6</v>
      </c>
      <c r="L20" s="4">
        <v>140002.1</v>
      </c>
      <c r="M20" s="4">
        <v>48592.5</v>
      </c>
      <c r="N20" s="4" t="str">
        <f t="shared" si="0"/>
        <v>Feb</v>
      </c>
      <c r="O20" s="4">
        <f t="shared" si="1"/>
        <v>2</v>
      </c>
      <c r="P20" s="6">
        <f t="shared" si="2"/>
        <v>0.25765583956274463</v>
      </c>
    </row>
    <row r="21" spans="1:16" x14ac:dyDescent="0.25">
      <c r="A21" s="4" t="s">
        <v>32</v>
      </c>
      <c r="B21" s="5">
        <v>46066.2911392405</v>
      </c>
      <c r="C21" s="4" t="s">
        <v>111</v>
      </c>
      <c r="D21" s="4" t="s">
        <v>171</v>
      </c>
      <c r="E21" s="4" t="s">
        <v>177</v>
      </c>
      <c r="F21" s="4" t="s">
        <v>180</v>
      </c>
      <c r="G21" s="4">
        <v>2</v>
      </c>
      <c r="H21" s="4">
        <v>13837</v>
      </c>
      <c r="I21" s="4">
        <v>5</v>
      </c>
      <c r="J21" s="4" t="s">
        <v>186</v>
      </c>
      <c r="K21" s="4">
        <v>26290.3</v>
      </c>
      <c r="L21" s="4">
        <v>18506.27</v>
      </c>
      <c r="M21" s="4">
        <v>7784.03</v>
      </c>
      <c r="N21" s="4" t="str">
        <f t="shared" si="0"/>
        <v>Feb</v>
      </c>
      <c r="O21" s="4">
        <f t="shared" si="1"/>
        <v>2</v>
      </c>
      <c r="P21" s="6">
        <f t="shared" si="2"/>
        <v>0.29607992301343083</v>
      </c>
    </row>
    <row r="22" spans="1:16" x14ac:dyDescent="0.25">
      <c r="A22" s="4" t="s">
        <v>33</v>
      </c>
      <c r="B22" s="5">
        <v>46068.569620253162</v>
      </c>
      <c r="C22" s="4" t="s">
        <v>112</v>
      </c>
      <c r="D22" s="4" t="s">
        <v>174</v>
      </c>
      <c r="E22" s="4" t="s">
        <v>178</v>
      </c>
      <c r="F22" s="4" t="s">
        <v>180</v>
      </c>
      <c r="G22" s="4">
        <v>3</v>
      </c>
      <c r="H22" s="4">
        <v>1229</v>
      </c>
      <c r="I22" s="4">
        <v>15</v>
      </c>
      <c r="J22" s="4" t="s">
        <v>185</v>
      </c>
      <c r="K22" s="4">
        <v>3133.95</v>
      </c>
      <c r="L22" s="4">
        <v>2098.3200000000002</v>
      </c>
      <c r="M22" s="4">
        <v>1035.6300000000001</v>
      </c>
      <c r="N22" s="4" t="str">
        <f t="shared" si="0"/>
        <v>Feb</v>
      </c>
      <c r="O22" s="4">
        <f t="shared" si="1"/>
        <v>2</v>
      </c>
      <c r="P22" s="6">
        <f t="shared" si="2"/>
        <v>0.33045517637486244</v>
      </c>
    </row>
    <row r="23" spans="1:16" x14ac:dyDescent="0.25">
      <c r="A23" s="4" t="s">
        <v>34</v>
      </c>
      <c r="B23" s="5">
        <v>46070.848101265823</v>
      </c>
      <c r="C23" s="4" t="s">
        <v>113</v>
      </c>
      <c r="D23" s="4" t="s">
        <v>172</v>
      </c>
      <c r="E23" s="4" t="s">
        <v>178</v>
      </c>
      <c r="F23" s="4" t="s">
        <v>179</v>
      </c>
      <c r="G23" s="4">
        <v>1</v>
      </c>
      <c r="H23" s="4">
        <v>3164</v>
      </c>
      <c r="I23" s="4">
        <v>5</v>
      </c>
      <c r="J23" s="4" t="s">
        <v>185</v>
      </c>
      <c r="K23" s="4">
        <v>3005.8</v>
      </c>
      <c r="L23" s="4">
        <v>2077.59</v>
      </c>
      <c r="M23" s="4">
        <v>928.21</v>
      </c>
      <c r="N23" s="4" t="str">
        <f t="shared" si="0"/>
        <v>Feb</v>
      </c>
      <c r="O23" s="4">
        <f t="shared" si="1"/>
        <v>2</v>
      </c>
      <c r="P23" s="6">
        <f t="shared" si="2"/>
        <v>0.30880630780491047</v>
      </c>
    </row>
    <row r="24" spans="1:16" x14ac:dyDescent="0.25">
      <c r="A24" s="4" t="s">
        <v>35</v>
      </c>
      <c r="B24" s="5">
        <v>46073.12658227847</v>
      </c>
      <c r="C24" s="4" t="s">
        <v>114</v>
      </c>
      <c r="D24" s="4" t="s">
        <v>176</v>
      </c>
      <c r="E24" s="4" t="s">
        <v>177</v>
      </c>
      <c r="F24" s="4" t="s">
        <v>180</v>
      </c>
      <c r="G24" s="4">
        <v>1</v>
      </c>
      <c r="H24" s="4">
        <v>14362</v>
      </c>
      <c r="I24" s="4">
        <v>15</v>
      </c>
      <c r="J24" s="4" t="s">
        <v>185</v>
      </c>
      <c r="K24" s="4">
        <v>12207.7</v>
      </c>
      <c r="L24" s="4">
        <v>9419.09</v>
      </c>
      <c r="M24" s="4">
        <v>2788.61</v>
      </c>
      <c r="N24" s="4" t="str">
        <f t="shared" si="0"/>
        <v>Feb</v>
      </c>
      <c r="O24" s="4">
        <f t="shared" si="1"/>
        <v>2</v>
      </c>
      <c r="P24" s="6">
        <f t="shared" si="2"/>
        <v>0.2284304168680423</v>
      </c>
    </row>
    <row r="25" spans="1:16" x14ac:dyDescent="0.25">
      <c r="A25" s="4" t="s">
        <v>36</v>
      </c>
      <c r="B25" s="5">
        <v>46075.405063291131</v>
      </c>
      <c r="C25" s="4" t="s">
        <v>115</v>
      </c>
      <c r="D25" s="4" t="s">
        <v>175</v>
      </c>
      <c r="E25" s="4" t="s">
        <v>177</v>
      </c>
      <c r="F25" s="4" t="s">
        <v>179</v>
      </c>
      <c r="G25" s="4">
        <v>4</v>
      </c>
      <c r="H25" s="4">
        <v>55237</v>
      </c>
      <c r="I25" s="4">
        <v>10</v>
      </c>
      <c r="J25" s="4" t="s">
        <v>185</v>
      </c>
      <c r="K25" s="4">
        <v>198853.2</v>
      </c>
      <c r="L25" s="4">
        <v>123861.42</v>
      </c>
      <c r="M25" s="4">
        <v>74991.78</v>
      </c>
      <c r="N25" s="4" t="str">
        <f t="shared" si="0"/>
        <v>Feb</v>
      </c>
      <c r="O25" s="4">
        <f t="shared" si="1"/>
        <v>2</v>
      </c>
      <c r="P25" s="6">
        <f t="shared" si="2"/>
        <v>0.37712131361225265</v>
      </c>
    </row>
    <row r="26" spans="1:16" x14ac:dyDescent="0.25">
      <c r="A26" s="4" t="s">
        <v>37</v>
      </c>
      <c r="B26" s="5">
        <v>46077.6835443038</v>
      </c>
      <c r="C26" s="4" t="s">
        <v>116</v>
      </c>
      <c r="D26" s="4" t="s">
        <v>175</v>
      </c>
      <c r="E26" s="4" t="s">
        <v>177</v>
      </c>
      <c r="F26" s="4" t="s">
        <v>182</v>
      </c>
      <c r="G26" s="4">
        <v>3</v>
      </c>
      <c r="H26" s="4">
        <v>55082</v>
      </c>
      <c r="I26" s="4">
        <v>10</v>
      </c>
      <c r="J26" s="4" t="s">
        <v>185</v>
      </c>
      <c r="K26" s="4">
        <v>148721.4</v>
      </c>
      <c r="L26" s="4">
        <v>95659.77</v>
      </c>
      <c r="M26" s="4">
        <v>53061.63</v>
      </c>
      <c r="N26" s="4" t="str">
        <f t="shared" si="0"/>
        <v>Feb</v>
      </c>
      <c r="O26" s="4">
        <f t="shared" si="1"/>
        <v>2</v>
      </c>
      <c r="P26" s="6">
        <f t="shared" si="2"/>
        <v>0.3567854390827413</v>
      </c>
    </row>
    <row r="27" spans="1:16" x14ac:dyDescent="0.25">
      <c r="A27" s="4" t="s">
        <v>38</v>
      </c>
      <c r="B27" s="5">
        <v>46079.962025316447</v>
      </c>
      <c r="C27" s="4" t="s">
        <v>117</v>
      </c>
      <c r="D27" s="4" t="s">
        <v>173</v>
      </c>
      <c r="E27" s="4" t="s">
        <v>178</v>
      </c>
      <c r="F27" s="4" t="s">
        <v>180</v>
      </c>
      <c r="G27" s="4">
        <v>5</v>
      </c>
      <c r="H27" s="4">
        <v>2026</v>
      </c>
      <c r="I27" s="4">
        <v>10</v>
      </c>
      <c r="J27" s="4" t="s">
        <v>186</v>
      </c>
      <c r="K27" s="4">
        <v>9117</v>
      </c>
      <c r="L27" s="4">
        <v>5736.42</v>
      </c>
      <c r="M27" s="4">
        <v>3380.58</v>
      </c>
      <c r="N27" s="4" t="str">
        <f t="shared" si="0"/>
        <v>Feb</v>
      </c>
      <c r="O27" s="4">
        <f t="shared" si="1"/>
        <v>2</v>
      </c>
      <c r="P27" s="6">
        <f t="shared" si="2"/>
        <v>0.37079960513326754</v>
      </c>
    </row>
    <row r="28" spans="1:16" x14ac:dyDescent="0.25">
      <c r="A28" s="4" t="s">
        <v>39</v>
      </c>
      <c r="B28" s="5">
        <v>46082.240506329108</v>
      </c>
      <c r="C28" s="4" t="s">
        <v>118</v>
      </c>
      <c r="D28" s="4" t="s">
        <v>173</v>
      </c>
      <c r="E28" s="4" t="s">
        <v>178</v>
      </c>
      <c r="F28" s="4" t="s">
        <v>182</v>
      </c>
      <c r="G28" s="4">
        <v>3</v>
      </c>
      <c r="H28" s="4">
        <v>2225</v>
      </c>
      <c r="I28" s="4">
        <v>15</v>
      </c>
      <c r="J28" s="4" t="s">
        <v>186</v>
      </c>
      <c r="K28" s="4">
        <v>5673.75</v>
      </c>
      <c r="L28" s="4">
        <v>3563.94</v>
      </c>
      <c r="M28" s="4">
        <v>2109.81</v>
      </c>
      <c r="N28" s="4" t="str">
        <f t="shared" si="0"/>
        <v>Mar</v>
      </c>
      <c r="O28" s="4">
        <f t="shared" si="1"/>
        <v>3</v>
      </c>
      <c r="P28" s="6">
        <f t="shared" si="2"/>
        <v>0.37185459352280237</v>
      </c>
    </row>
    <row r="29" spans="1:16" x14ac:dyDescent="0.25">
      <c r="A29" s="4" t="s">
        <v>40</v>
      </c>
      <c r="B29" s="5">
        <v>46084.518987341769</v>
      </c>
      <c r="C29" s="4" t="s">
        <v>119</v>
      </c>
      <c r="D29" s="4" t="s">
        <v>174</v>
      </c>
      <c r="E29" s="4" t="s">
        <v>178</v>
      </c>
      <c r="F29" s="4" t="s">
        <v>179</v>
      </c>
      <c r="G29" s="4">
        <v>4</v>
      </c>
      <c r="H29" s="4">
        <v>1276</v>
      </c>
      <c r="I29" s="4">
        <v>5</v>
      </c>
      <c r="J29" s="4" t="s">
        <v>183</v>
      </c>
      <c r="K29" s="4">
        <v>4848.8</v>
      </c>
      <c r="L29" s="4">
        <v>3835.85</v>
      </c>
      <c r="M29" s="4">
        <v>1012.95</v>
      </c>
      <c r="N29" s="4" t="str">
        <f t="shared" si="0"/>
        <v>Mar</v>
      </c>
      <c r="O29" s="4">
        <f t="shared" si="1"/>
        <v>3</v>
      </c>
      <c r="P29" s="6">
        <f t="shared" si="2"/>
        <v>0.20890735852169609</v>
      </c>
    </row>
    <row r="30" spans="1:16" x14ac:dyDescent="0.25">
      <c r="A30" s="4" t="s">
        <v>41</v>
      </c>
      <c r="B30" s="5">
        <v>46086.797468354423</v>
      </c>
      <c r="C30" s="4" t="s">
        <v>120</v>
      </c>
      <c r="D30" s="4" t="s">
        <v>171</v>
      </c>
      <c r="E30" s="4" t="s">
        <v>177</v>
      </c>
      <c r="F30" s="4" t="s">
        <v>181</v>
      </c>
      <c r="G30" s="4">
        <v>4</v>
      </c>
      <c r="H30" s="4">
        <v>14408</v>
      </c>
      <c r="I30" s="4">
        <v>5</v>
      </c>
      <c r="J30" s="4" t="s">
        <v>185</v>
      </c>
      <c r="K30" s="4">
        <v>54750.400000000001</v>
      </c>
      <c r="L30" s="4">
        <v>41650.36</v>
      </c>
      <c r="M30" s="4">
        <v>13100.04</v>
      </c>
      <c r="N30" s="4" t="str">
        <f t="shared" si="0"/>
        <v>Mar</v>
      </c>
      <c r="O30" s="4">
        <f t="shared" si="1"/>
        <v>3</v>
      </c>
      <c r="P30" s="6">
        <f t="shared" si="2"/>
        <v>0.23926838890674773</v>
      </c>
    </row>
    <row r="31" spans="1:16" x14ac:dyDescent="0.25">
      <c r="A31" s="4" t="s">
        <v>42</v>
      </c>
      <c r="B31" s="5">
        <v>46089.075949367078</v>
      </c>
      <c r="C31" s="4" t="s">
        <v>121</v>
      </c>
      <c r="D31" s="4" t="s">
        <v>171</v>
      </c>
      <c r="E31" s="4" t="s">
        <v>177</v>
      </c>
      <c r="F31" s="4" t="s">
        <v>180</v>
      </c>
      <c r="G31" s="4">
        <v>3</v>
      </c>
      <c r="H31" s="4">
        <v>14083</v>
      </c>
      <c r="I31" s="4">
        <v>15</v>
      </c>
      <c r="J31" s="4" t="s">
        <v>186</v>
      </c>
      <c r="K31" s="4">
        <v>35911.65</v>
      </c>
      <c r="L31" s="4">
        <v>25670.9</v>
      </c>
      <c r="M31" s="4">
        <v>10240.75</v>
      </c>
      <c r="N31" s="4" t="str">
        <f t="shared" si="0"/>
        <v>Mar</v>
      </c>
      <c r="O31" s="4">
        <f t="shared" si="1"/>
        <v>3</v>
      </c>
      <c r="P31" s="6">
        <f t="shared" si="2"/>
        <v>0.28516512051103193</v>
      </c>
    </row>
    <row r="32" spans="1:16" x14ac:dyDescent="0.25">
      <c r="A32" s="4" t="s">
        <v>43</v>
      </c>
      <c r="B32" s="5">
        <v>46091.354430379753</v>
      </c>
      <c r="C32" s="4" t="s">
        <v>122</v>
      </c>
      <c r="D32" s="4" t="s">
        <v>173</v>
      </c>
      <c r="E32" s="4" t="s">
        <v>178</v>
      </c>
      <c r="F32" s="4" t="s">
        <v>179</v>
      </c>
      <c r="G32" s="4">
        <v>4</v>
      </c>
      <c r="H32" s="4">
        <v>2480</v>
      </c>
      <c r="I32" s="4">
        <v>10</v>
      </c>
      <c r="J32" s="4" t="s">
        <v>183</v>
      </c>
      <c r="K32" s="4">
        <v>8928</v>
      </c>
      <c r="L32" s="4">
        <v>5710.05</v>
      </c>
      <c r="M32" s="4">
        <v>3217.95</v>
      </c>
      <c r="N32" s="4" t="str">
        <f t="shared" si="0"/>
        <v>Mar</v>
      </c>
      <c r="O32" s="4">
        <f t="shared" si="1"/>
        <v>3</v>
      </c>
      <c r="P32" s="6">
        <f t="shared" si="2"/>
        <v>0.36043346774193546</v>
      </c>
    </row>
    <row r="33" spans="1:16" x14ac:dyDescent="0.25">
      <c r="A33" s="4" t="s">
        <v>44</v>
      </c>
      <c r="B33" s="5">
        <v>46093.632911392393</v>
      </c>
      <c r="C33" s="4" t="s">
        <v>123</v>
      </c>
      <c r="D33" s="4" t="s">
        <v>171</v>
      </c>
      <c r="E33" s="4" t="s">
        <v>177</v>
      </c>
      <c r="F33" s="4" t="s">
        <v>181</v>
      </c>
      <c r="G33" s="4">
        <v>3</v>
      </c>
      <c r="H33" s="4">
        <v>14252</v>
      </c>
      <c r="I33" s="4">
        <v>0</v>
      </c>
      <c r="J33" s="4" t="s">
        <v>185</v>
      </c>
      <c r="K33" s="4">
        <v>38480.400000000001</v>
      </c>
      <c r="L33" s="4">
        <v>27641.360000000001</v>
      </c>
      <c r="M33" s="4">
        <v>10839.04</v>
      </c>
      <c r="N33" s="4" t="str">
        <f t="shared" si="0"/>
        <v>Mar</v>
      </c>
      <c r="O33" s="4">
        <f t="shared" si="1"/>
        <v>3</v>
      </c>
      <c r="P33" s="6">
        <f t="shared" si="2"/>
        <v>0.28167690564547149</v>
      </c>
    </row>
    <row r="34" spans="1:16" x14ac:dyDescent="0.25">
      <c r="A34" s="4" t="s">
        <v>45</v>
      </c>
      <c r="B34" s="5">
        <v>46095.911392405047</v>
      </c>
      <c r="C34" s="4" t="s">
        <v>124</v>
      </c>
      <c r="D34" s="4" t="s">
        <v>171</v>
      </c>
      <c r="E34" s="4" t="s">
        <v>177</v>
      </c>
      <c r="F34" s="4" t="s">
        <v>181</v>
      </c>
      <c r="G34" s="4">
        <v>2</v>
      </c>
      <c r="H34" s="4">
        <v>14458</v>
      </c>
      <c r="I34" s="4">
        <v>5</v>
      </c>
      <c r="J34" s="4" t="s">
        <v>184</v>
      </c>
      <c r="K34" s="4">
        <v>27470.2</v>
      </c>
      <c r="L34" s="4">
        <v>19632.8</v>
      </c>
      <c r="M34" s="4">
        <v>7837.4</v>
      </c>
      <c r="N34" s="4" t="str">
        <f t="shared" si="0"/>
        <v>Mar</v>
      </c>
      <c r="O34" s="4">
        <f t="shared" si="1"/>
        <v>3</v>
      </c>
      <c r="P34" s="6">
        <f t="shared" si="2"/>
        <v>0.28530553108459344</v>
      </c>
    </row>
    <row r="35" spans="1:16" x14ac:dyDescent="0.25">
      <c r="A35" s="4" t="s">
        <v>46</v>
      </c>
      <c r="B35" s="5">
        <v>46098.189873417723</v>
      </c>
      <c r="C35" s="4" t="s">
        <v>125</v>
      </c>
      <c r="D35" s="4" t="s">
        <v>175</v>
      </c>
      <c r="E35" s="4" t="s">
        <v>177</v>
      </c>
      <c r="F35" s="4" t="s">
        <v>182</v>
      </c>
      <c r="G35" s="4">
        <v>3</v>
      </c>
      <c r="H35" s="4">
        <v>55315</v>
      </c>
      <c r="I35" s="4">
        <v>10</v>
      </c>
      <c r="J35" s="4" t="s">
        <v>183</v>
      </c>
      <c r="K35" s="4">
        <v>149350.5</v>
      </c>
      <c r="L35" s="4">
        <v>97770.87</v>
      </c>
      <c r="M35" s="4">
        <v>51579.63</v>
      </c>
      <c r="N35" s="4" t="str">
        <f t="shared" si="0"/>
        <v>Mar</v>
      </c>
      <c r="O35" s="4">
        <f t="shared" si="1"/>
        <v>3</v>
      </c>
      <c r="P35" s="6">
        <f t="shared" si="2"/>
        <v>0.34535960709873753</v>
      </c>
    </row>
    <row r="36" spans="1:16" x14ac:dyDescent="0.25">
      <c r="A36" s="4" t="s">
        <v>47</v>
      </c>
      <c r="B36" s="5">
        <v>46100.46835443037</v>
      </c>
      <c r="C36" s="4" t="s">
        <v>126</v>
      </c>
      <c r="D36" s="4" t="s">
        <v>173</v>
      </c>
      <c r="E36" s="4" t="s">
        <v>178</v>
      </c>
      <c r="F36" s="4" t="s">
        <v>179</v>
      </c>
      <c r="G36" s="4">
        <v>3</v>
      </c>
      <c r="H36" s="4">
        <v>2546</v>
      </c>
      <c r="I36" s="4">
        <v>0</v>
      </c>
      <c r="J36" s="4" t="s">
        <v>186</v>
      </c>
      <c r="K36" s="4">
        <v>7638</v>
      </c>
      <c r="L36" s="4">
        <v>5398.31</v>
      </c>
      <c r="M36" s="4">
        <v>2239.69</v>
      </c>
      <c r="N36" s="4" t="str">
        <f t="shared" si="0"/>
        <v>Mar</v>
      </c>
      <c r="O36" s="4">
        <f t="shared" si="1"/>
        <v>3</v>
      </c>
      <c r="P36" s="6">
        <f t="shared" si="2"/>
        <v>0.29322990311599895</v>
      </c>
    </row>
    <row r="37" spans="1:16" x14ac:dyDescent="0.25">
      <c r="A37" s="4" t="s">
        <v>48</v>
      </c>
      <c r="B37" s="5">
        <v>46102.746835443031</v>
      </c>
      <c r="C37" s="4" t="s">
        <v>127</v>
      </c>
      <c r="D37" s="4" t="s">
        <v>172</v>
      </c>
      <c r="E37" s="4" t="s">
        <v>178</v>
      </c>
      <c r="F37" s="4" t="s">
        <v>181</v>
      </c>
      <c r="G37" s="4">
        <v>4</v>
      </c>
      <c r="H37" s="4">
        <v>2991</v>
      </c>
      <c r="I37" s="4">
        <v>5</v>
      </c>
      <c r="J37" s="4" t="s">
        <v>184</v>
      </c>
      <c r="K37" s="4">
        <v>11365.8</v>
      </c>
      <c r="L37" s="4">
        <v>7952.66</v>
      </c>
      <c r="M37" s="4">
        <v>3413.14</v>
      </c>
      <c r="N37" s="4" t="str">
        <f t="shared" si="0"/>
        <v>Mar</v>
      </c>
      <c r="O37" s="4">
        <f t="shared" si="1"/>
        <v>3</v>
      </c>
      <c r="P37" s="6">
        <f t="shared" si="2"/>
        <v>0.30029914304316457</v>
      </c>
    </row>
    <row r="38" spans="1:16" x14ac:dyDescent="0.25">
      <c r="A38" s="4" t="s">
        <v>49</v>
      </c>
      <c r="B38" s="5">
        <v>46105.025316455693</v>
      </c>
      <c r="C38" s="4" t="s">
        <v>128</v>
      </c>
      <c r="D38" s="4" t="s">
        <v>173</v>
      </c>
      <c r="E38" s="4" t="s">
        <v>178</v>
      </c>
      <c r="F38" s="4" t="s">
        <v>180</v>
      </c>
      <c r="G38" s="4">
        <v>4</v>
      </c>
      <c r="H38" s="4">
        <v>2048</v>
      </c>
      <c r="I38" s="4">
        <v>10</v>
      </c>
      <c r="J38" s="4" t="s">
        <v>184</v>
      </c>
      <c r="K38" s="4">
        <v>7372.8</v>
      </c>
      <c r="L38" s="4">
        <v>5479.24</v>
      </c>
      <c r="M38" s="4">
        <v>1893.56</v>
      </c>
      <c r="N38" s="4" t="str">
        <f t="shared" si="0"/>
        <v>Mar</v>
      </c>
      <c r="O38" s="4">
        <f t="shared" si="1"/>
        <v>3</v>
      </c>
      <c r="P38" s="6">
        <f t="shared" si="2"/>
        <v>0.25683051215277775</v>
      </c>
    </row>
    <row r="39" spans="1:16" x14ac:dyDescent="0.25">
      <c r="A39" s="4" t="s">
        <v>50</v>
      </c>
      <c r="B39" s="5">
        <v>46107.303797468347</v>
      </c>
      <c r="C39" s="4" t="s">
        <v>129</v>
      </c>
      <c r="D39" s="4" t="s">
        <v>172</v>
      </c>
      <c r="E39" s="4" t="s">
        <v>178</v>
      </c>
      <c r="F39" s="4" t="s">
        <v>180</v>
      </c>
      <c r="G39" s="4">
        <v>1</v>
      </c>
      <c r="H39" s="4">
        <v>3311</v>
      </c>
      <c r="I39" s="4">
        <v>5</v>
      </c>
      <c r="J39" s="4" t="s">
        <v>184</v>
      </c>
      <c r="K39" s="4">
        <v>3145.45</v>
      </c>
      <c r="L39" s="4">
        <v>2349.71</v>
      </c>
      <c r="M39" s="4">
        <v>795.74</v>
      </c>
      <c r="N39" s="4" t="str">
        <f t="shared" si="0"/>
        <v>Mar</v>
      </c>
      <c r="O39" s="4">
        <f t="shared" si="1"/>
        <v>3</v>
      </c>
      <c r="P39" s="6">
        <f t="shared" si="2"/>
        <v>0.2529812904353908</v>
      </c>
    </row>
    <row r="40" spans="1:16" x14ac:dyDescent="0.25">
      <c r="A40" s="4" t="s">
        <v>51</v>
      </c>
      <c r="B40" s="5">
        <v>46109.582278481008</v>
      </c>
      <c r="C40" s="4" t="s">
        <v>130</v>
      </c>
      <c r="D40" s="4" t="s">
        <v>175</v>
      </c>
      <c r="E40" s="4" t="s">
        <v>177</v>
      </c>
      <c r="F40" s="4" t="s">
        <v>182</v>
      </c>
      <c r="G40" s="4">
        <v>1</v>
      </c>
      <c r="H40" s="4">
        <v>54816</v>
      </c>
      <c r="I40" s="4">
        <v>0</v>
      </c>
      <c r="J40" s="4" t="s">
        <v>183</v>
      </c>
      <c r="K40" s="4">
        <v>54816</v>
      </c>
      <c r="L40" s="4">
        <v>34482.6</v>
      </c>
      <c r="M40" s="4">
        <v>20333.400000000001</v>
      </c>
      <c r="N40" s="4" t="str">
        <f t="shared" si="0"/>
        <v>Mar</v>
      </c>
      <c r="O40" s="4">
        <f t="shared" si="1"/>
        <v>3</v>
      </c>
      <c r="P40" s="6">
        <f t="shared" si="2"/>
        <v>0.37093914185639232</v>
      </c>
    </row>
    <row r="41" spans="1:16" x14ac:dyDescent="0.25">
      <c r="A41" s="4" t="s">
        <v>52</v>
      </c>
      <c r="B41" s="5">
        <v>46111.860759493669</v>
      </c>
      <c r="C41" s="4" t="s">
        <v>131</v>
      </c>
      <c r="D41" s="4" t="s">
        <v>174</v>
      </c>
      <c r="E41" s="4" t="s">
        <v>178</v>
      </c>
      <c r="F41" s="4" t="s">
        <v>181</v>
      </c>
      <c r="G41" s="4">
        <v>2</v>
      </c>
      <c r="H41" s="4">
        <v>1171</v>
      </c>
      <c r="I41" s="4">
        <v>5</v>
      </c>
      <c r="J41" s="4" t="s">
        <v>186</v>
      </c>
      <c r="K41" s="4">
        <v>2224.9</v>
      </c>
      <c r="L41" s="4">
        <v>1546.13</v>
      </c>
      <c r="M41" s="4">
        <v>678.77</v>
      </c>
      <c r="N41" s="4" t="str">
        <f t="shared" si="0"/>
        <v>Mar</v>
      </c>
      <c r="O41" s="4">
        <f t="shared" si="1"/>
        <v>3</v>
      </c>
      <c r="P41" s="6">
        <f t="shared" si="2"/>
        <v>0.30507887994966065</v>
      </c>
    </row>
    <row r="42" spans="1:16" x14ac:dyDescent="0.25">
      <c r="A42" s="4" t="s">
        <v>53</v>
      </c>
      <c r="B42" s="5">
        <v>46114.139240506323</v>
      </c>
      <c r="C42" s="4" t="s">
        <v>132</v>
      </c>
      <c r="D42" s="4" t="s">
        <v>171</v>
      </c>
      <c r="E42" s="4" t="s">
        <v>177</v>
      </c>
      <c r="F42" s="4" t="s">
        <v>179</v>
      </c>
      <c r="G42" s="4">
        <v>1</v>
      </c>
      <c r="H42" s="4">
        <v>14019</v>
      </c>
      <c r="I42" s="4">
        <v>5</v>
      </c>
      <c r="J42" s="4" t="s">
        <v>184</v>
      </c>
      <c r="K42" s="4">
        <v>13318.05</v>
      </c>
      <c r="L42" s="4">
        <v>9924.24</v>
      </c>
      <c r="M42" s="4">
        <v>3393.81</v>
      </c>
      <c r="N42" s="4" t="str">
        <f t="shared" si="0"/>
        <v>Apr</v>
      </c>
      <c r="O42" s="4">
        <f t="shared" si="1"/>
        <v>4</v>
      </c>
      <c r="P42" s="6">
        <f t="shared" si="2"/>
        <v>0.25482784641895773</v>
      </c>
    </row>
    <row r="43" spans="1:16" x14ac:dyDescent="0.25">
      <c r="A43" s="4" t="s">
        <v>54</v>
      </c>
      <c r="B43" s="5">
        <v>46116.417721518977</v>
      </c>
      <c r="C43" s="4" t="s">
        <v>133</v>
      </c>
      <c r="D43" s="4" t="s">
        <v>175</v>
      </c>
      <c r="E43" s="4" t="s">
        <v>177</v>
      </c>
      <c r="F43" s="4" t="s">
        <v>180</v>
      </c>
      <c r="G43" s="4">
        <v>3</v>
      </c>
      <c r="H43" s="4">
        <v>54957</v>
      </c>
      <c r="I43" s="4">
        <v>5</v>
      </c>
      <c r="J43" s="4" t="s">
        <v>185</v>
      </c>
      <c r="K43" s="4">
        <v>156627.45000000001</v>
      </c>
      <c r="L43" s="4">
        <v>112870.01</v>
      </c>
      <c r="M43" s="4">
        <v>43757.440000000002</v>
      </c>
      <c r="N43" s="4" t="str">
        <f t="shared" si="0"/>
        <v>Apr</v>
      </c>
      <c r="O43" s="4">
        <f t="shared" si="1"/>
        <v>4</v>
      </c>
      <c r="P43" s="6">
        <f t="shared" si="2"/>
        <v>0.27937274085736569</v>
      </c>
    </row>
    <row r="44" spans="1:16" x14ac:dyDescent="0.25">
      <c r="A44" s="4" t="s">
        <v>55</v>
      </c>
      <c r="B44" s="5">
        <v>46118.696202531653</v>
      </c>
      <c r="C44" s="4" t="s">
        <v>134</v>
      </c>
      <c r="D44" s="4" t="s">
        <v>171</v>
      </c>
      <c r="E44" s="4" t="s">
        <v>177</v>
      </c>
      <c r="F44" s="4" t="s">
        <v>181</v>
      </c>
      <c r="G44" s="4">
        <v>4</v>
      </c>
      <c r="H44" s="4">
        <v>14276</v>
      </c>
      <c r="I44" s="4">
        <v>5</v>
      </c>
      <c r="J44" s="4" t="s">
        <v>184</v>
      </c>
      <c r="K44" s="4">
        <v>54248.800000000003</v>
      </c>
      <c r="L44" s="4">
        <v>42926.97</v>
      </c>
      <c r="M44" s="4">
        <v>11321.83</v>
      </c>
      <c r="N44" s="4" t="str">
        <f t="shared" si="0"/>
        <v>Apr</v>
      </c>
      <c r="O44" s="4">
        <f t="shared" si="1"/>
        <v>4</v>
      </c>
      <c r="P44" s="6">
        <f t="shared" si="2"/>
        <v>0.20870194363746294</v>
      </c>
    </row>
    <row r="45" spans="1:16" x14ac:dyDescent="0.25">
      <c r="A45" s="4" t="s">
        <v>56</v>
      </c>
      <c r="B45" s="5">
        <v>46120.974683544293</v>
      </c>
      <c r="C45" s="4" t="s">
        <v>135</v>
      </c>
      <c r="D45" s="4" t="s">
        <v>174</v>
      </c>
      <c r="E45" s="4" t="s">
        <v>178</v>
      </c>
      <c r="F45" s="4" t="s">
        <v>181</v>
      </c>
      <c r="G45" s="4">
        <v>1</v>
      </c>
      <c r="H45" s="4">
        <v>1045</v>
      </c>
      <c r="I45" s="4">
        <v>0</v>
      </c>
      <c r="J45" s="4" t="s">
        <v>184</v>
      </c>
      <c r="K45" s="4">
        <v>1045</v>
      </c>
      <c r="L45" s="4">
        <v>785.57</v>
      </c>
      <c r="M45" s="4">
        <v>259.43</v>
      </c>
      <c r="N45" s="4" t="str">
        <f t="shared" si="0"/>
        <v>Apr</v>
      </c>
      <c r="O45" s="4">
        <f t="shared" si="1"/>
        <v>4</v>
      </c>
      <c r="P45" s="6">
        <f t="shared" si="2"/>
        <v>0.24825837320574162</v>
      </c>
    </row>
    <row r="46" spans="1:16" x14ac:dyDescent="0.25">
      <c r="A46" s="4" t="s">
        <v>57</v>
      </c>
      <c r="B46" s="5">
        <v>46123.253164556947</v>
      </c>
      <c r="C46" s="4" t="s">
        <v>136</v>
      </c>
      <c r="D46" s="4" t="s">
        <v>174</v>
      </c>
      <c r="E46" s="4" t="s">
        <v>178</v>
      </c>
      <c r="F46" s="4" t="s">
        <v>193</v>
      </c>
      <c r="G46" s="4">
        <v>1</v>
      </c>
      <c r="H46" s="4">
        <v>1372</v>
      </c>
      <c r="I46" s="4">
        <v>15</v>
      </c>
      <c r="J46" s="4" t="s">
        <v>183</v>
      </c>
      <c r="K46" s="4">
        <v>1166.2</v>
      </c>
      <c r="L46" s="4">
        <v>761.05</v>
      </c>
      <c r="M46" s="4">
        <v>405.15</v>
      </c>
      <c r="N46" s="4" t="str">
        <f t="shared" si="0"/>
        <v>Apr</v>
      </c>
      <c r="O46" s="4">
        <f t="shared" si="1"/>
        <v>4</v>
      </c>
      <c r="P46" s="6">
        <f t="shared" si="2"/>
        <v>0.34741039272851992</v>
      </c>
    </row>
    <row r="47" spans="1:16" x14ac:dyDescent="0.25">
      <c r="A47" s="4" t="s">
        <v>58</v>
      </c>
      <c r="B47" s="5">
        <v>46125.531645569623</v>
      </c>
      <c r="C47" s="4" t="s">
        <v>137</v>
      </c>
      <c r="D47" s="4" t="s">
        <v>175</v>
      </c>
      <c r="E47" s="4" t="s">
        <v>177</v>
      </c>
      <c r="F47" s="4" t="s">
        <v>180</v>
      </c>
      <c r="G47" s="4">
        <v>2</v>
      </c>
      <c r="H47" s="4">
        <v>55317</v>
      </c>
      <c r="I47" s="4">
        <v>5</v>
      </c>
      <c r="J47" s="4" t="s">
        <v>183</v>
      </c>
      <c r="K47" s="4">
        <v>105102.3</v>
      </c>
      <c r="L47" s="4">
        <v>66646.81</v>
      </c>
      <c r="M47" s="4">
        <v>38455.49</v>
      </c>
      <c r="N47" s="4" t="str">
        <f t="shared" si="0"/>
        <v>Apr</v>
      </c>
      <c r="O47" s="4">
        <f t="shared" si="1"/>
        <v>4</v>
      </c>
      <c r="P47" s="6">
        <f t="shared" si="2"/>
        <v>0.36588628412508573</v>
      </c>
    </row>
    <row r="48" spans="1:16" x14ac:dyDescent="0.25">
      <c r="A48" s="4" t="s">
        <v>59</v>
      </c>
      <c r="B48" s="5">
        <v>46127.81012658227</v>
      </c>
      <c r="C48" s="4" t="s">
        <v>138</v>
      </c>
      <c r="D48" s="4" t="s">
        <v>174</v>
      </c>
      <c r="E48" s="4" t="s">
        <v>178</v>
      </c>
      <c r="F48" s="4" t="s">
        <v>180</v>
      </c>
      <c r="G48" s="4">
        <v>2</v>
      </c>
      <c r="H48" s="4">
        <v>1098</v>
      </c>
      <c r="I48" s="4">
        <v>5</v>
      </c>
      <c r="J48" s="4" t="s">
        <v>186</v>
      </c>
      <c r="K48" s="4">
        <v>2086.1999999999998</v>
      </c>
      <c r="L48" s="4">
        <v>1561.49</v>
      </c>
      <c r="M48" s="4">
        <v>524.71</v>
      </c>
      <c r="N48" s="4" t="str">
        <f t="shared" si="0"/>
        <v>Apr</v>
      </c>
      <c r="O48" s="4">
        <f t="shared" si="1"/>
        <v>4</v>
      </c>
      <c r="P48" s="6">
        <f t="shared" si="2"/>
        <v>0.25151471575112649</v>
      </c>
    </row>
    <row r="49" spans="1:16" x14ac:dyDescent="0.25">
      <c r="A49" s="4" t="s">
        <v>60</v>
      </c>
      <c r="B49" s="5">
        <v>46130.088607594931</v>
      </c>
      <c r="C49" s="4" t="s">
        <v>139</v>
      </c>
      <c r="D49" s="4" t="s">
        <v>172</v>
      </c>
      <c r="E49" s="4" t="s">
        <v>178</v>
      </c>
      <c r="F49" s="4" t="s">
        <v>179</v>
      </c>
      <c r="G49" s="4">
        <v>3</v>
      </c>
      <c r="H49" s="4">
        <v>2836</v>
      </c>
      <c r="I49" s="4">
        <v>10</v>
      </c>
      <c r="J49" s="4" t="s">
        <v>185</v>
      </c>
      <c r="K49" s="4">
        <v>7657.2</v>
      </c>
      <c r="L49" s="4">
        <v>4788.0600000000004</v>
      </c>
      <c r="M49" s="4">
        <v>2869.14</v>
      </c>
      <c r="N49" s="4" t="str">
        <f t="shared" si="0"/>
        <v>Apr</v>
      </c>
      <c r="O49" s="4">
        <f t="shared" si="1"/>
        <v>4</v>
      </c>
      <c r="P49" s="6">
        <f t="shared" si="2"/>
        <v>0.3746983231468422</v>
      </c>
    </row>
    <row r="50" spans="1:16" x14ac:dyDescent="0.25">
      <c r="A50" s="4" t="s">
        <v>61</v>
      </c>
      <c r="B50" s="5">
        <v>46132.367088607592</v>
      </c>
      <c r="C50" s="4" t="s">
        <v>140</v>
      </c>
      <c r="D50" s="4" t="s">
        <v>174</v>
      </c>
      <c r="E50" s="4" t="s">
        <v>178</v>
      </c>
      <c r="F50" s="4" t="s">
        <v>180</v>
      </c>
      <c r="G50" s="4">
        <v>4</v>
      </c>
      <c r="H50" s="4">
        <v>1279</v>
      </c>
      <c r="I50" s="4">
        <v>5</v>
      </c>
      <c r="J50" s="4" t="s">
        <v>183</v>
      </c>
      <c r="K50" s="4">
        <v>4860.2</v>
      </c>
      <c r="L50" s="4">
        <v>3582.72</v>
      </c>
      <c r="M50" s="4">
        <v>1277.48</v>
      </c>
      <c r="N50" s="4" t="str">
        <f t="shared" si="0"/>
        <v>Apr</v>
      </c>
      <c r="O50" s="4">
        <f t="shared" si="1"/>
        <v>4</v>
      </c>
      <c r="P50" s="6">
        <f t="shared" si="2"/>
        <v>0.26284515040533313</v>
      </c>
    </row>
    <row r="51" spans="1:16" x14ac:dyDescent="0.25">
      <c r="A51" s="4" t="s">
        <v>62</v>
      </c>
      <c r="B51" s="5">
        <v>46134.645569620247</v>
      </c>
      <c r="C51" s="4" t="s">
        <v>141</v>
      </c>
      <c r="D51" s="4" t="s">
        <v>171</v>
      </c>
      <c r="E51" s="4" t="s">
        <v>177</v>
      </c>
      <c r="F51" s="4" t="s">
        <v>179</v>
      </c>
      <c r="G51" s="4">
        <v>2</v>
      </c>
      <c r="H51" s="4">
        <v>14148</v>
      </c>
      <c r="I51" s="4">
        <v>10</v>
      </c>
      <c r="J51" s="4" t="s">
        <v>184</v>
      </c>
      <c r="K51" s="4">
        <v>25466.400000000001</v>
      </c>
      <c r="L51" s="4">
        <v>20578.02</v>
      </c>
      <c r="M51" s="4">
        <v>4888.38</v>
      </c>
      <c r="N51" s="4" t="str">
        <f t="shared" si="0"/>
        <v>Apr</v>
      </c>
      <c r="O51" s="4">
        <f t="shared" si="1"/>
        <v>4</v>
      </c>
      <c r="P51" s="6">
        <f t="shared" si="2"/>
        <v>0.19195410423145792</v>
      </c>
    </row>
    <row r="52" spans="1:16" x14ac:dyDescent="0.25">
      <c r="A52" s="4" t="s">
        <v>63</v>
      </c>
      <c r="B52" s="5">
        <v>46136.924050632908</v>
      </c>
      <c r="C52" s="4" t="s">
        <v>142</v>
      </c>
      <c r="D52" s="4" t="s">
        <v>171</v>
      </c>
      <c r="E52" s="4" t="s">
        <v>177</v>
      </c>
      <c r="F52" s="4" t="s">
        <v>180</v>
      </c>
      <c r="G52" s="4">
        <v>1</v>
      </c>
      <c r="H52" s="4">
        <v>14296</v>
      </c>
      <c r="I52" s="4">
        <v>15</v>
      </c>
      <c r="J52" s="4" t="s">
        <v>186</v>
      </c>
      <c r="K52" s="4">
        <v>12151.6</v>
      </c>
      <c r="L52" s="4">
        <v>8932.58</v>
      </c>
      <c r="M52" s="4">
        <v>3219.02</v>
      </c>
      <c r="N52" s="4" t="str">
        <f t="shared" si="0"/>
        <v>Apr</v>
      </c>
      <c r="O52" s="4">
        <f t="shared" si="1"/>
        <v>4</v>
      </c>
      <c r="P52" s="6">
        <f t="shared" si="2"/>
        <v>0.26490503308206326</v>
      </c>
    </row>
    <row r="53" spans="1:16" x14ac:dyDescent="0.25">
      <c r="A53" s="4" t="s">
        <v>64</v>
      </c>
      <c r="B53" s="5">
        <v>46139.202531645569</v>
      </c>
      <c r="C53" s="4" t="s">
        <v>143</v>
      </c>
      <c r="D53" s="4" t="s">
        <v>171</v>
      </c>
      <c r="E53" s="4" t="s">
        <v>177</v>
      </c>
      <c r="F53" s="4" t="s">
        <v>182</v>
      </c>
      <c r="G53" s="4">
        <v>4</v>
      </c>
      <c r="H53" s="4">
        <v>14101</v>
      </c>
      <c r="I53" s="4">
        <v>0</v>
      </c>
      <c r="J53" s="4" t="s">
        <v>184</v>
      </c>
      <c r="K53" s="4">
        <v>56404</v>
      </c>
      <c r="L53" s="4">
        <v>39349.35</v>
      </c>
      <c r="M53" s="4">
        <v>17054.650000000001</v>
      </c>
      <c r="N53" s="4" t="str">
        <f t="shared" si="0"/>
        <v>Apr</v>
      </c>
      <c r="O53" s="4">
        <f t="shared" si="1"/>
        <v>4</v>
      </c>
      <c r="P53" s="6">
        <f t="shared" si="2"/>
        <v>0.30236596695269841</v>
      </c>
    </row>
    <row r="54" spans="1:16" x14ac:dyDescent="0.25">
      <c r="A54" s="4" t="s">
        <v>65</v>
      </c>
      <c r="B54" s="5">
        <v>46141.481012658223</v>
      </c>
      <c r="C54" s="4" t="s">
        <v>144</v>
      </c>
      <c r="D54" s="4" t="s">
        <v>171</v>
      </c>
      <c r="E54" s="4" t="s">
        <v>177</v>
      </c>
      <c r="F54" s="4" t="s">
        <v>180</v>
      </c>
      <c r="G54" s="4">
        <v>4</v>
      </c>
      <c r="H54" s="4">
        <v>13980</v>
      </c>
      <c r="I54" s="4">
        <v>0</v>
      </c>
      <c r="J54" s="4" t="s">
        <v>184</v>
      </c>
      <c r="K54" s="4">
        <v>55920</v>
      </c>
      <c r="L54" s="4">
        <v>41864.94</v>
      </c>
      <c r="M54" s="4">
        <v>14055.06</v>
      </c>
      <c r="N54" s="4" t="str">
        <f t="shared" si="0"/>
        <v>Apr</v>
      </c>
      <c r="O54" s="4">
        <f t="shared" si="1"/>
        <v>4</v>
      </c>
      <c r="P54" s="6">
        <f t="shared" si="2"/>
        <v>0.2513422746781116</v>
      </c>
    </row>
    <row r="55" spans="1:16" x14ac:dyDescent="0.25">
      <c r="A55" s="4" t="s">
        <v>66</v>
      </c>
      <c r="B55" s="5">
        <v>46143.759493670877</v>
      </c>
      <c r="C55" s="4" t="s">
        <v>145</v>
      </c>
      <c r="D55" s="4" t="s">
        <v>172</v>
      </c>
      <c r="E55" s="4" t="s">
        <v>178</v>
      </c>
      <c r="F55" s="4" t="s">
        <v>179</v>
      </c>
      <c r="G55" s="4">
        <v>1</v>
      </c>
      <c r="H55" s="4">
        <v>3406</v>
      </c>
      <c r="I55" s="4">
        <v>15</v>
      </c>
      <c r="J55" s="4" t="s">
        <v>183</v>
      </c>
      <c r="K55" s="4">
        <v>2895.1</v>
      </c>
      <c r="L55" s="4">
        <v>2060.3000000000002</v>
      </c>
      <c r="M55" s="4">
        <v>834.8</v>
      </c>
      <c r="N55" s="4" t="str">
        <f t="shared" si="0"/>
        <v>May</v>
      </c>
      <c r="O55" s="4">
        <f t="shared" si="1"/>
        <v>5</v>
      </c>
      <c r="P55" s="6">
        <f t="shared" si="2"/>
        <v>0.28834927981762287</v>
      </c>
    </row>
    <row r="56" spans="1:16" x14ac:dyDescent="0.25">
      <c r="A56" s="4" t="s">
        <v>67</v>
      </c>
      <c r="B56" s="5">
        <v>46146.037974683539</v>
      </c>
      <c r="C56" s="4" t="s">
        <v>146</v>
      </c>
      <c r="D56" s="4" t="s">
        <v>173</v>
      </c>
      <c r="E56" s="4" t="s">
        <v>178</v>
      </c>
      <c r="F56" s="4" t="s">
        <v>179</v>
      </c>
      <c r="G56" s="4">
        <v>2</v>
      </c>
      <c r="H56" s="4">
        <v>2098</v>
      </c>
      <c r="I56" s="4">
        <v>0</v>
      </c>
      <c r="J56" s="4" t="s">
        <v>186</v>
      </c>
      <c r="K56" s="4">
        <v>4196</v>
      </c>
      <c r="L56" s="4">
        <v>3059.4</v>
      </c>
      <c r="M56" s="4">
        <v>1136.5999999999999</v>
      </c>
      <c r="N56" s="4" t="str">
        <f t="shared" si="0"/>
        <v>May</v>
      </c>
      <c r="O56" s="4">
        <f t="shared" si="1"/>
        <v>5</v>
      </c>
      <c r="P56" s="6">
        <f t="shared" si="2"/>
        <v>0.27087702573879885</v>
      </c>
    </row>
    <row r="57" spans="1:16" x14ac:dyDescent="0.25">
      <c r="A57" s="4" t="s">
        <v>68</v>
      </c>
      <c r="B57" s="5">
        <v>46148.316455696193</v>
      </c>
      <c r="C57" s="4" t="s">
        <v>147</v>
      </c>
      <c r="D57" s="4" t="s">
        <v>175</v>
      </c>
      <c r="E57" s="4" t="s">
        <v>177</v>
      </c>
      <c r="F57" s="4" t="s">
        <v>182</v>
      </c>
      <c r="G57" s="4">
        <v>1</v>
      </c>
      <c r="H57" s="4">
        <v>55499</v>
      </c>
      <c r="I57" s="4">
        <v>15</v>
      </c>
      <c r="J57" s="4" t="s">
        <v>187</v>
      </c>
      <c r="K57" s="4">
        <v>47174.15</v>
      </c>
      <c r="L57" s="4">
        <v>38130.53</v>
      </c>
      <c r="M57" s="4">
        <v>9043.6200000000008</v>
      </c>
      <c r="N57" s="4" t="str">
        <f t="shared" si="0"/>
        <v>May</v>
      </c>
      <c r="O57" s="4">
        <f t="shared" si="1"/>
        <v>5</v>
      </c>
      <c r="P57" s="6">
        <f t="shared" si="2"/>
        <v>0.19170711077995048</v>
      </c>
    </row>
    <row r="58" spans="1:16" x14ac:dyDescent="0.25">
      <c r="A58" s="4" t="s">
        <v>69</v>
      </c>
      <c r="B58" s="5">
        <v>46150.594936708847</v>
      </c>
      <c r="C58" s="4" t="s">
        <v>148</v>
      </c>
      <c r="D58" s="4" t="s">
        <v>171</v>
      </c>
      <c r="E58" s="4" t="s">
        <v>177</v>
      </c>
      <c r="F58" s="4" t="s">
        <v>180</v>
      </c>
      <c r="G58" s="4">
        <v>4</v>
      </c>
      <c r="H58" s="4">
        <v>13915</v>
      </c>
      <c r="I58" s="4">
        <v>15</v>
      </c>
      <c r="J58" s="4" t="s">
        <v>185</v>
      </c>
      <c r="K58" s="4">
        <v>47311</v>
      </c>
      <c r="L58" s="4">
        <v>32986.199999999997</v>
      </c>
      <c r="M58" s="4">
        <v>14324.8</v>
      </c>
      <c r="N58" s="4" t="str">
        <f t="shared" si="0"/>
        <v>May</v>
      </c>
      <c r="O58" s="4">
        <f t="shared" si="1"/>
        <v>5</v>
      </c>
      <c r="P58" s="6">
        <f t="shared" si="2"/>
        <v>0.30277948045908981</v>
      </c>
    </row>
    <row r="59" spans="1:16" x14ac:dyDescent="0.25">
      <c r="A59" s="4" t="s">
        <v>70</v>
      </c>
      <c r="B59" s="5">
        <v>46152.873417721523</v>
      </c>
      <c r="C59" s="4" t="s">
        <v>149</v>
      </c>
      <c r="D59" s="4" t="s">
        <v>174</v>
      </c>
      <c r="E59" s="4" t="s">
        <v>178</v>
      </c>
      <c r="F59" s="4" t="s">
        <v>180</v>
      </c>
      <c r="G59" s="4">
        <v>5</v>
      </c>
      <c r="H59" s="4">
        <v>1190</v>
      </c>
      <c r="I59" s="4">
        <v>15</v>
      </c>
      <c r="J59" s="4" t="s">
        <v>183</v>
      </c>
      <c r="K59" s="4">
        <v>5057.5</v>
      </c>
      <c r="L59" s="4">
        <v>4107.8900000000003</v>
      </c>
      <c r="M59" s="4">
        <v>949.61</v>
      </c>
      <c r="N59" s="4" t="str">
        <f t="shared" si="0"/>
        <v>May</v>
      </c>
      <c r="O59" s="4">
        <f t="shared" si="1"/>
        <v>5</v>
      </c>
      <c r="P59" s="6">
        <f t="shared" si="2"/>
        <v>0.1877627286208601</v>
      </c>
    </row>
    <row r="60" spans="1:16" x14ac:dyDescent="0.25">
      <c r="A60" s="4" t="s">
        <v>71</v>
      </c>
      <c r="B60" s="5">
        <v>46155.15189873417</v>
      </c>
      <c r="C60" s="4" t="s">
        <v>150</v>
      </c>
      <c r="D60" s="4" t="s">
        <v>171</v>
      </c>
      <c r="E60" s="4" t="s">
        <v>177</v>
      </c>
      <c r="F60" s="4" t="s">
        <v>182</v>
      </c>
      <c r="G60" s="4">
        <v>5</v>
      </c>
      <c r="H60" s="4">
        <v>14052</v>
      </c>
      <c r="I60" s="4">
        <v>0</v>
      </c>
      <c r="J60" s="4" t="s">
        <v>183</v>
      </c>
      <c r="K60" s="4">
        <v>70260</v>
      </c>
      <c r="L60" s="4">
        <v>56283.19</v>
      </c>
      <c r="M60" s="4">
        <v>13976.81</v>
      </c>
      <c r="N60" s="4" t="str">
        <f t="shared" si="0"/>
        <v>May</v>
      </c>
      <c r="O60" s="4">
        <f t="shared" si="1"/>
        <v>5</v>
      </c>
      <c r="P60" s="6">
        <f t="shared" si="2"/>
        <v>0.19892983205237688</v>
      </c>
    </row>
    <row r="61" spans="1:16" x14ac:dyDescent="0.25">
      <c r="A61" s="4" t="s">
        <v>72</v>
      </c>
      <c r="B61" s="5">
        <v>46157.430379746831</v>
      </c>
      <c r="C61" s="4" t="s">
        <v>151</v>
      </c>
      <c r="D61" s="4" t="s">
        <v>174</v>
      </c>
      <c r="E61" s="4" t="s">
        <v>178</v>
      </c>
      <c r="F61" s="4" t="s">
        <v>180</v>
      </c>
      <c r="G61" s="4">
        <v>3</v>
      </c>
      <c r="H61" s="4">
        <v>1160</v>
      </c>
      <c r="I61" s="4">
        <v>10</v>
      </c>
      <c r="J61" s="4" t="s">
        <v>186</v>
      </c>
      <c r="K61" s="4">
        <v>3132</v>
      </c>
      <c r="L61" s="4">
        <v>2064.48</v>
      </c>
      <c r="M61" s="4">
        <v>1067.52</v>
      </c>
      <c r="N61" s="4" t="str">
        <f t="shared" si="0"/>
        <v>May</v>
      </c>
      <c r="O61" s="4">
        <f t="shared" si="1"/>
        <v>5</v>
      </c>
      <c r="P61" s="6">
        <f t="shared" si="2"/>
        <v>0.34084291187739463</v>
      </c>
    </row>
    <row r="62" spans="1:16" x14ac:dyDescent="0.25">
      <c r="A62" s="4" t="s">
        <v>73</v>
      </c>
      <c r="B62" s="5">
        <v>46159.708860759492</v>
      </c>
      <c r="C62" s="4" t="s">
        <v>152</v>
      </c>
      <c r="D62" s="4" t="s">
        <v>174</v>
      </c>
      <c r="E62" s="4" t="s">
        <v>178</v>
      </c>
      <c r="F62" s="4" t="s">
        <v>180</v>
      </c>
      <c r="G62" s="4">
        <v>1</v>
      </c>
      <c r="H62" s="4">
        <v>1255</v>
      </c>
      <c r="I62" s="4">
        <v>15</v>
      </c>
      <c r="J62" s="4" t="s">
        <v>185</v>
      </c>
      <c r="K62" s="4">
        <v>1066.75</v>
      </c>
      <c r="L62" s="4">
        <v>676.18</v>
      </c>
      <c r="M62" s="4">
        <v>390.57</v>
      </c>
      <c r="N62" s="4" t="str">
        <f t="shared" si="0"/>
        <v>May</v>
      </c>
      <c r="O62" s="4">
        <f t="shared" si="1"/>
        <v>5</v>
      </c>
      <c r="P62" s="6">
        <f t="shared" si="2"/>
        <v>0.36613077103351299</v>
      </c>
    </row>
    <row r="63" spans="1:16" x14ac:dyDescent="0.25">
      <c r="A63" s="4" t="s">
        <v>74</v>
      </c>
      <c r="B63" s="5">
        <v>46161.987341772139</v>
      </c>
      <c r="C63" s="4" t="s">
        <v>153</v>
      </c>
      <c r="D63" s="4" t="s">
        <v>171</v>
      </c>
      <c r="E63" s="4" t="s">
        <v>177</v>
      </c>
      <c r="F63" s="4" t="s">
        <v>179</v>
      </c>
      <c r="G63" s="4">
        <v>1</v>
      </c>
      <c r="H63" s="4">
        <v>14122</v>
      </c>
      <c r="I63" s="4">
        <v>5</v>
      </c>
      <c r="J63" s="4" t="s">
        <v>185</v>
      </c>
      <c r="K63" s="4">
        <v>13415.9</v>
      </c>
      <c r="L63" s="4">
        <v>8588.26</v>
      </c>
      <c r="M63" s="4">
        <v>4827.6400000000003</v>
      </c>
      <c r="N63" s="4" t="str">
        <f t="shared" si="0"/>
        <v>May</v>
      </c>
      <c r="O63" s="4">
        <f t="shared" si="1"/>
        <v>5</v>
      </c>
      <c r="P63" s="6">
        <f t="shared" si="2"/>
        <v>0.35984466193099235</v>
      </c>
    </row>
    <row r="64" spans="1:16" x14ac:dyDescent="0.25">
      <c r="A64" s="4" t="s">
        <v>75</v>
      </c>
      <c r="B64" s="5">
        <v>46164.265822784801</v>
      </c>
      <c r="C64" s="4" t="s">
        <v>154</v>
      </c>
      <c r="D64" s="4" t="s">
        <v>172</v>
      </c>
      <c r="E64" s="4" t="s">
        <v>178</v>
      </c>
      <c r="F64" s="4" t="s">
        <v>180</v>
      </c>
      <c r="G64" s="4">
        <v>3</v>
      </c>
      <c r="H64" s="4">
        <v>2927</v>
      </c>
      <c r="I64" s="4">
        <v>0</v>
      </c>
      <c r="J64" s="4" t="s">
        <v>185</v>
      </c>
      <c r="K64" s="4">
        <v>8781</v>
      </c>
      <c r="L64" s="4">
        <v>5476.22</v>
      </c>
      <c r="M64" s="4">
        <v>3304.78</v>
      </c>
      <c r="N64" s="4" t="str">
        <f t="shared" si="0"/>
        <v>May</v>
      </c>
      <c r="O64" s="4">
        <f t="shared" si="1"/>
        <v>5</v>
      </c>
      <c r="P64" s="6">
        <f t="shared" si="2"/>
        <v>0.37635576813574767</v>
      </c>
    </row>
    <row r="65" spans="1:16" x14ac:dyDescent="0.25">
      <c r="A65" s="4" t="s">
        <v>76</v>
      </c>
      <c r="B65" s="5">
        <v>46166.544303797462</v>
      </c>
      <c r="C65" s="4" t="s">
        <v>155</v>
      </c>
      <c r="D65" s="4" t="s">
        <v>174</v>
      </c>
      <c r="E65" s="4" t="s">
        <v>178</v>
      </c>
      <c r="F65" s="4" t="s">
        <v>180</v>
      </c>
      <c r="G65" s="4">
        <v>3</v>
      </c>
      <c r="H65" s="4">
        <v>1017</v>
      </c>
      <c r="I65" s="4">
        <v>15</v>
      </c>
      <c r="J65" s="4" t="s">
        <v>184</v>
      </c>
      <c r="K65" s="4">
        <v>2593.35</v>
      </c>
      <c r="L65" s="4">
        <v>1656.86</v>
      </c>
      <c r="M65" s="4">
        <v>936.49</v>
      </c>
      <c r="N65" s="4" t="str">
        <f t="shared" si="0"/>
        <v>May</v>
      </c>
      <c r="O65" s="4">
        <f t="shared" si="1"/>
        <v>5</v>
      </c>
      <c r="P65" s="6">
        <f t="shared" si="2"/>
        <v>0.36111207511519849</v>
      </c>
    </row>
    <row r="66" spans="1:16" x14ac:dyDescent="0.25">
      <c r="A66" s="4" t="s">
        <v>77</v>
      </c>
      <c r="B66" s="5">
        <v>46168.822784810123</v>
      </c>
      <c r="C66" s="4" t="s">
        <v>156</v>
      </c>
      <c r="D66" s="4" t="s">
        <v>174</v>
      </c>
      <c r="E66" s="4" t="s">
        <v>178</v>
      </c>
      <c r="F66" s="4" t="s">
        <v>182</v>
      </c>
      <c r="G66" s="4">
        <v>3</v>
      </c>
      <c r="H66" s="4">
        <v>1565</v>
      </c>
      <c r="I66" s="4">
        <v>15</v>
      </c>
      <c r="J66" s="4" t="s">
        <v>185</v>
      </c>
      <c r="K66" s="4">
        <v>3990.75</v>
      </c>
      <c r="L66" s="4">
        <v>3019.41</v>
      </c>
      <c r="M66" s="4">
        <v>971.34</v>
      </c>
      <c r="N66" s="4" t="str">
        <f t="shared" si="0"/>
        <v>May</v>
      </c>
      <c r="O66" s="4">
        <f t="shared" si="1"/>
        <v>5</v>
      </c>
      <c r="P66" s="6">
        <f t="shared" si="2"/>
        <v>0.24339785754557414</v>
      </c>
    </row>
    <row r="67" spans="1:16" x14ac:dyDescent="0.25">
      <c r="A67" s="4" t="s">
        <v>78</v>
      </c>
      <c r="B67" s="5">
        <v>46171.101265822777</v>
      </c>
      <c r="C67" s="4" t="s">
        <v>157</v>
      </c>
      <c r="D67" s="4" t="s">
        <v>171</v>
      </c>
      <c r="E67" s="4" t="s">
        <v>177</v>
      </c>
      <c r="F67" s="4" t="s">
        <v>182</v>
      </c>
      <c r="G67" s="4">
        <v>4</v>
      </c>
      <c r="H67" s="4">
        <v>14369</v>
      </c>
      <c r="I67" s="4">
        <v>5</v>
      </c>
      <c r="J67" s="4" t="s">
        <v>184</v>
      </c>
      <c r="K67" s="4">
        <v>54602.2</v>
      </c>
      <c r="L67" s="4">
        <v>34630.78</v>
      </c>
      <c r="M67" s="4">
        <v>19971.419999999998</v>
      </c>
      <c r="N67" s="4" t="str">
        <f t="shared" ref="N67:N81" si="3">TEXT(B67,"MMM")</f>
        <v>May</v>
      </c>
      <c r="O67" s="4">
        <f t="shared" ref="O67:O81" si="4">MONTH(B67)</f>
        <v>5</v>
      </c>
      <c r="P67" s="6">
        <f t="shared" ref="P67:P81" si="5">M67/K67</f>
        <v>0.36576218540644884</v>
      </c>
    </row>
    <row r="68" spans="1:16" x14ac:dyDescent="0.25">
      <c r="A68" s="4" t="s">
        <v>79</v>
      </c>
      <c r="B68" s="5">
        <v>46173.379746835439</v>
      </c>
      <c r="C68" s="4" t="s">
        <v>158</v>
      </c>
      <c r="D68" s="4" t="s">
        <v>174</v>
      </c>
      <c r="E68" s="4" t="s">
        <v>178</v>
      </c>
      <c r="F68" s="4" t="s">
        <v>181</v>
      </c>
      <c r="G68" s="4">
        <v>1</v>
      </c>
      <c r="H68" s="4">
        <f>K68/(G68*(1-I68/100))</f>
        <v>1322</v>
      </c>
      <c r="I68" s="4">
        <v>10</v>
      </c>
      <c r="J68" s="4" t="s">
        <v>186</v>
      </c>
      <c r="K68" s="4">
        <v>1189.8</v>
      </c>
      <c r="L68" s="4">
        <v>813.58</v>
      </c>
      <c r="M68" s="4">
        <v>376.22</v>
      </c>
      <c r="N68" s="4" t="str">
        <f t="shared" si="3"/>
        <v>May</v>
      </c>
      <c r="O68" s="4">
        <f t="shared" si="4"/>
        <v>5</v>
      </c>
      <c r="P68" s="6">
        <f t="shared" si="5"/>
        <v>0.31620440410152972</v>
      </c>
    </row>
    <row r="69" spans="1:16" x14ac:dyDescent="0.25">
      <c r="A69" s="4" t="s">
        <v>80</v>
      </c>
      <c r="B69" s="5">
        <v>46175.658227848093</v>
      </c>
      <c r="C69" s="4" t="s">
        <v>159</v>
      </c>
      <c r="D69" s="4" t="s">
        <v>174</v>
      </c>
      <c r="E69" s="4" t="s">
        <v>178</v>
      </c>
      <c r="F69" s="4" t="s">
        <v>179</v>
      </c>
      <c r="G69" s="4">
        <v>4</v>
      </c>
      <c r="H69" s="4">
        <v>1685</v>
      </c>
      <c r="I69" s="4">
        <v>10</v>
      </c>
      <c r="J69" s="4" t="s">
        <v>184</v>
      </c>
      <c r="K69" s="4">
        <v>6066</v>
      </c>
      <c r="L69" s="4">
        <v>4785.92</v>
      </c>
      <c r="M69" s="4">
        <v>1280.08</v>
      </c>
      <c r="N69" s="4" t="str">
        <f t="shared" si="3"/>
        <v>Jun</v>
      </c>
      <c r="O69" s="4">
        <f t="shared" si="4"/>
        <v>6</v>
      </c>
      <c r="P69" s="6">
        <f t="shared" si="5"/>
        <v>0.21102538740520935</v>
      </c>
    </row>
    <row r="70" spans="1:16" x14ac:dyDescent="0.25">
      <c r="A70" s="4" t="s">
        <v>81</v>
      </c>
      <c r="B70" s="5">
        <v>46177.936708860747</v>
      </c>
      <c r="C70" s="4" t="s">
        <v>160</v>
      </c>
      <c r="D70" s="4" t="s">
        <v>171</v>
      </c>
      <c r="E70" s="4" t="s">
        <v>177</v>
      </c>
      <c r="F70" s="4" t="s">
        <v>180</v>
      </c>
      <c r="G70" s="4">
        <v>3</v>
      </c>
      <c r="H70" s="4">
        <v>14425</v>
      </c>
      <c r="I70" s="4">
        <v>10</v>
      </c>
      <c r="J70" s="4" t="s">
        <v>186</v>
      </c>
      <c r="K70" s="4">
        <v>38947.5</v>
      </c>
      <c r="L70" s="4">
        <v>24328.73</v>
      </c>
      <c r="M70" s="4">
        <v>14618.77</v>
      </c>
      <c r="N70" s="4" t="str">
        <f t="shared" si="3"/>
        <v>Jun</v>
      </c>
      <c r="O70" s="4">
        <f t="shared" si="4"/>
        <v>6</v>
      </c>
      <c r="P70" s="6">
        <f t="shared" si="5"/>
        <v>0.3753455292380769</v>
      </c>
    </row>
    <row r="71" spans="1:16" x14ac:dyDescent="0.25">
      <c r="A71" s="4" t="s">
        <v>82</v>
      </c>
      <c r="B71" s="5">
        <v>46180.215189873423</v>
      </c>
      <c r="C71" s="4" t="s">
        <v>161</v>
      </c>
      <c r="D71" s="4" t="s">
        <v>171</v>
      </c>
      <c r="E71" s="4" t="s">
        <v>177</v>
      </c>
      <c r="F71" s="4" t="s">
        <v>180</v>
      </c>
      <c r="G71" s="4">
        <v>1</v>
      </c>
      <c r="H71" s="4">
        <v>14087</v>
      </c>
      <c r="I71" s="4">
        <v>15</v>
      </c>
      <c r="J71" s="4" t="s">
        <v>185</v>
      </c>
      <c r="K71" s="4">
        <v>11973.95</v>
      </c>
      <c r="L71" s="4">
        <v>9374.33</v>
      </c>
      <c r="M71" s="4">
        <v>2599.62</v>
      </c>
      <c r="N71" s="4" t="str">
        <f t="shared" si="3"/>
        <v>Jun</v>
      </c>
      <c r="O71" s="4">
        <f t="shared" si="4"/>
        <v>6</v>
      </c>
      <c r="P71" s="6">
        <f t="shared" si="5"/>
        <v>0.21710630159638211</v>
      </c>
    </row>
    <row r="72" spans="1:16" x14ac:dyDescent="0.25">
      <c r="A72" s="4" t="s">
        <v>83</v>
      </c>
      <c r="B72" s="5">
        <v>46182.493670886062</v>
      </c>
      <c r="C72" s="4" t="s">
        <v>103</v>
      </c>
      <c r="D72" s="4" t="s">
        <v>175</v>
      </c>
      <c r="E72" s="4" t="s">
        <v>177</v>
      </c>
      <c r="F72" s="4" t="s">
        <v>181</v>
      </c>
      <c r="G72" s="4">
        <v>4</v>
      </c>
      <c r="H72" s="4">
        <v>55462</v>
      </c>
      <c r="I72" s="4">
        <v>15</v>
      </c>
      <c r="J72" s="4" t="s">
        <v>185</v>
      </c>
      <c r="K72" s="4">
        <v>188570.8</v>
      </c>
      <c r="L72" s="4">
        <v>127543.81</v>
      </c>
      <c r="M72" s="4">
        <v>61026.99</v>
      </c>
      <c r="N72" s="4" t="str">
        <f t="shared" si="3"/>
        <v>Jun</v>
      </c>
      <c r="O72" s="4">
        <f t="shared" si="4"/>
        <v>6</v>
      </c>
      <c r="P72" s="6">
        <f t="shared" si="5"/>
        <v>0.32362905603624742</v>
      </c>
    </row>
    <row r="73" spans="1:16" x14ac:dyDescent="0.25">
      <c r="A73" s="4" t="s">
        <v>84</v>
      </c>
      <c r="B73" s="5">
        <v>46184.772151898716</v>
      </c>
      <c r="C73" s="4" t="s">
        <v>162</v>
      </c>
      <c r="D73" s="4" t="s">
        <v>172</v>
      </c>
      <c r="E73" s="4" t="s">
        <v>178</v>
      </c>
      <c r="F73" s="4" t="s">
        <v>180</v>
      </c>
      <c r="G73" s="4">
        <v>4</v>
      </c>
      <c r="H73" s="4">
        <v>3438</v>
      </c>
      <c r="I73" s="4">
        <v>15</v>
      </c>
      <c r="J73" s="4" t="s">
        <v>186</v>
      </c>
      <c r="K73" s="4">
        <v>11689.2</v>
      </c>
      <c r="L73" s="4">
        <v>7523.55</v>
      </c>
      <c r="M73" s="4">
        <v>4165.6499999999996</v>
      </c>
      <c r="N73" s="4" t="str">
        <f t="shared" si="3"/>
        <v>Jun</v>
      </c>
      <c r="O73" s="4">
        <f t="shared" si="4"/>
        <v>6</v>
      </c>
      <c r="P73" s="6">
        <f t="shared" si="5"/>
        <v>0.35636741607637812</v>
      </c>
    </row>
    <row r="74" spans="1:16" x14ac:dyDescent="0.25">
      <c r="A74" s="4" t="s">
        <v>85</v>
      </c>
      <c r="B74" s="5">
        <v>46187.050632911392</v>
      </c>
      <c r="C74" s="4" t="s">
        <v>163</v>
      </c>
      <c r="D74" s="4" t="s">
        <v>172</v>
      </c>
      <c r="E74" s="4" t="s">
        <v>178</v>
      </c>
      <c r="F74" s="4" t="s">
        <v>179</v>
      </c>
      <c r="G74" s="4">
        <v>3</v>
      </c>
      <c r="H74" s="4">
        <v>2954</v>
      </c>
      <c r="I74" s="4">
        <v>0</v>
      </c>
      <c r="J74" s="4" t="s">
        <v>183</v>
      </c>
      <c r="K74" s="4">
        <v>8862</v>
      </c>
      <c r="L74" s="4">
        <v>6729.34</v>
      </c>
      <c r="M74" s="4">
        <v>2132.66</v>
      </c>
      <c r="N74" s="4" t="str">
        <f t="shared" si="3"/>
        <v>Jun</v>
      </c>
      <c r="O74" s="4">
        <f t="shared" si="4"/>
        <v>6</v>
      </c>
      <c r="P74" s="6">
        <f t="shared" si="5"/>
        <v>0.24065222297449784</v>
      </c>
    </row>
    <row r="75" spans="1:16" x14ac:dyDescent="0.25">
      <c r="A75" s="4" t="s">
        <v>86</v>
      </c>
      <c r="B75" s="5">
        <v>46189.329113924039</v>
      </c>
      <c r="C75" s="4" t="s">
        <v>164</v>
      </c>
      <c r="D75" s="4" t="s">
        <v>174</v>
      </c>
      <c r="E75" s="4" t="s">
        <v>178</v>
      </c>
      <c r="F75" s="4" t="s">
        <v>181</v>
      </c>
      <c r="G75" s="4">
        <v>1</v>
      </c>
      <c r="H75" s="4">
        <v>1489</v>
      </c>
      <c r="I75" s="4">
        <v>5</v>
      </c>
      <c r="J75" s="4" t="s">
        <v>186</v>
      </c>
      <c r="K75" s="4">
        <v>1414.55</v>
      </c>
      <c r="L75" s="4">
        <v>1054.96</v>
      </c>
      <c r="M75" s="4">
        <v>359.59</v>
      </c>
      <c r="N75" s="4" t="str">
        <f t="shared" si="3"/>
        <v>Jun</v>
      </c>
      <c r="O75" s="4">
        <f t="shared" si="4"/>
        <v>6</v>
      </c>
      <c r="P75" s="6">
        <f t="shared" si="5"/>
        <v>0.25420805203068114</v>
      </c>
    </row>
    <row r="76" spans="1:16" x14ac:dyDescent="0.25">
      <c r="A76" s="4" t="s">
        <v>87</v>
      </c>
      <c r="B76" s="5">
        <v>46191.6075949367</v>
      </c>
      <c r="C76" s="4" t="s">
        <v>165</v>
      </c>
      <c r="D76" s="4" t="s">
        <v>172</v>
      </c>
      <c r="E76" s="4" t="s">
        <v>178</v>
      </c>
      <c r="F76" s="4" t="s">
        <v>179</v>
      </c>
      <c r="G76" s="4">
        <v>3</v>
      </c>
      <c r="H76" s="4">
        <v>3185</v>
      </c>
      <c r="I76" s="4">
        <v>15</v>
      </c>
      <c r="J76" s="4" t="s">
        <v>183</v>
      </c>
      <c r="K76" s="4">
        <v>8121.75</v>
      </c>
      <c r="L76" s="4">
        <v>6460.81</v>
      </c>
      <c r="M76" s="4">
        <v>1660.94</v>
      </c>
      <c r="N76" s="4" t="str">
        <f t="shared" si="3"/>
        <v>Jun</v>
      </c>
      <c r="O76" s="4">
        <f t="shared" si="4"/>
        <v>6</v>
      </c>
      <c r="P76" s="6">
        <f t="shared" si="5"/>
        <v>0.20450518669006065</v>
      </c>
    </row>
    <row r="77" spans="1:16" x14ac:dyDescent="0.25">
      <c r="A77" s="4" t="s">
        <v>88</v>
      </c>
      <c r="B77" s="5">
        <v>46193.886075949362</v>
      </c>
      <c r="C77" s="4" t="s">
        <v>166</v>
      </c>
      <c r="D77" s="4" t="s">
        <v>174</v>
      </c>
      <c r="E77" s="4" t="s">
        <v>178</v>
      </c>
      <c r="F77" s="4" t="s">
        <v>181</v>
      </c>
      <c r="G77" s="4">
        <v>1</v>
      </c>
      <c r="H77" s="4">
        <v>1103</v>
      </c>
      <c r="I77" s="4">
        <v>5</v>
      </c>
      <c r="J77" s="4" t="s">
        <v>184</v>
      </c>
      <c r="K77" s="4">
        <v>1047.8499999999999</v>
      </c>
      <c r="L77" s="4">
        <v>803.72</v>
      </c>
      <c r="M77" s="4">
        <v>244.13</v>
      </c>
      <c r="N77" s="4" t="str">
        <f t="shared" si="3"/>
        <v>Jun</v>
      </c>
      <c r="O77" s="4">
        <f t="shared" si="4"/>
        <v>6</v>
      </c>
      <c r="P77" s="6">
        <f t="shared" si="5"/>
        <v>0.23298181991697287</v>
      </c>
    </row>
    <row r="78" spans="1:16" x14ac:dyDescent="0.25">
      <c r="A78" s="4" t="s">
        <v>89</v>
      </c>
      <c r="B78" s="5">
        <v>46196.164556962023</v>
      </c>
      <c r="C78" s="4" t="s">
        <v>167</v>
      </c>
      <c r="D78" s="4" t="s">
        <v>175</v>
      </c>
      <c r="E78" s="4" t="s">
        <v>177</v>
      </c>
      <c r="F78" s="4" t="s">
        <v>181</v>
      </c>
      <c r="G78" s="4">
        <v>5</v>
      </c>
      <c r="H78" s="4">
        <v>55192</v>
      </c>
      <c r="I78" s="4">
        <v>5</v>
      </c>
      <c r="J78" s="4" t="s">
        <v>184</v>
      </c>
      <c r="K78" s="4">
        <v>262162</v>
      </c>
      <c r="L78" s="4">
        <v>204668.87</v>
      </c>
      <c r="M78" s="4">
        <v>57493.13</v>
      </c>
      <c r="N78" s="4" t="str">
        <f t="shared" si="3"/>
        <v>Jun</v>
      </c>
      <c r="O78" s="4">
        <f t="shared" si="4"/>
        <v>6</v>
      </c>
      <c r="P78" s="6">
        <f t="shared" si="5"/>
        <v>0.2193038274044293</v>
      </c>
    </row>
    <row r="79" spans="1:16" x14ac:dyDescent="0.25">
      <c r="A79" s="4" t="s">
        <v>90</v>
      </c>
      <c r="B79" s="5">
        <v>46198.443037974677</v>
      </c>
      <c r="C79" s="4" t="s">
        <v>168</v>
      </c>
      <c r="D79" s="4" t="s">
        <v>171</v>
      </c>
      <c r="E79" s="4" t="s">
        <v>177</v>
      </c>
      <c r="F79" s="4" t="s">
        <v>182</v>
      </c>
      <c r="G79" s="4">
        <v>2</v>
      </c>
      <c r="H79" s="4">
        <v>14045</v>
      </c>
      <c r="I79" s="4">
        <v>10</v>
      </c>
      <c r="J79" s="4" t="s">
        <v>184</v>
      </c>
      <c r="K79" s="4">
        <v>25281</v>
      </c>
      <c r="L79" s="4">
        <v>17100.240000000002</v>
      </c>
      <c r="M79" s="4">
        <v>8180.76</v>
      </c>
      <c r="N79" s="4" t="str">
        <f t="shared" si="3"/>
        <v>Jun</v>
      </c>
      <c r="O79" s="4">
        <f t="shared" si="4"/>
        <v>6</v>
      </c>
      <c r="P79" s="6">
        <f t="shared" si="5"/>
        <v>0.32359321229381749</v>
      </c>
    </row>
    <row r="80" spans="1:16" x14ac:dyDescent="0.25">
      <c r="A80" s="4" t="s">
        <v>91</v>
      </c>
      <c r="B80" s="5">
        <v>46200.721518987339</v>
      </c>
      <c r="C80" s="4" t="s">
        <v>169</v>
      </c>
      <c r="D80" s="4" t="s">
        <v>171</v>
      </c>
      <c r="E80" s="4" t="s">
        <v>177</v>
      </c>
      <c r="F80" s="4" t="s">
        <v>179</v>
      </c>
      <c r="G80" s="4">
        <v>2</v>
      </c>
      <c r="H80" s="4">
        <v>13975</v>
      </c>
      <c r="I80" s="4">
        <v>0</v>
      </c>
      <c r="J80" s="4" t="s">
        <v>185</v>
      </c>
      <c r="K80" s="4">
        <v>27950</v>
      </c>
      <c r="L80" s="4">
        <v>18320.89</v>
      </c>
      <c r="M80" s="4">
        <v>9629.11</v>
      </c>
      <c r="N80" s="4" t="str">
        <f t="shared" si="3"/>
        <v>Jun</v>
      </c>
      <c r="O80" s="4">
        <f t="shared" si="4"/>
        <v>6</v>
      </c>
      <c r="P80" s="6">
        <f t="shared" si="5"/>
        <v>0.34451198568872987</v>
      </c>
    </row>
    <row r="81" spans="1:16" x14ac:dyDescent="0.25">
      <c r="A81" s="4" t="s">
        <v>92</v>
      </c>
      <c r="B81" s="5">
        <v>46203</v>
      </c>
      <c r="C81" s="4" t="s">
        <v>170</v>
      </c>
      <c r="D81" s="4" t="s">
        <v>171</v>
      </c>
      <c r="E81" s="4" t="s">
        <v>177</v>
      </c>
      <c r="F81" s="4" t="s">
        <v>180</v>
      </c>
      <c r="G81" s="4">
        <v>2</v>
      </c>
      <c r="H81" s="4">
        <v>13838</v>
      </c>
      <c r="I81" s="4">
        <v>15</v>
      </c>
      <c r="J81" s="4" t="s">
        <v>184</v>
      </c>
      <c r="K81" s="4">
        <v>23524.6</v>
      </c>
      <c r="L81" s="4">
        <v>18116.830000000002</v>
      </c>
      <c r="M81" s="4">
        <v>5407.77</v>
      </c>
      <c r="N81" s="4" t="str">
        <f t="shared" si="3"/>
        <v>Jun</v>
      </c>
      <c r="O81" s="4">
        <f t="shared" si="4"/>
        <v>6</v>
      </c>
      <c r="P81" s="6">
        <f t="shared" si="5"/>
        <v>0.22987723489453596</v>
      </c>
    </row>
  </sheetData>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PIVOT</vt:lpstr>
      <vt:lpstr>CHARTS</vt:lpstr>
      <vt:lpstr>DASHBOARD</vt:lpstr>
      <vt:lpstr>Clean_Data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USER</cp:lastModifiedBy>
  <dcterms:created xsi:type="dcterms:W3CDTF">2026-09-18T00:21:58Z</dcterms:created>
  <dcterms:modified xsi:type="dcterms:W3CDTF">2026-09-23T04:19:22Z</dcterms:modified>
</cp:coreProperties>
</file>