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ALAH MAHABOOB\"/>
    </mc:Choice>
  </mc:AlternateContent>
  <xr:revisionPtr revIDLastSave="0" documentId="8_{4A0C7ADB-B5D8-4F1A-93B8-8D6FE7F64F8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lea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H68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11" i="1"/>
  <c r="P12" i="1"/>
  <c r="P10" i="1"/>
  <c r="P3" i="1"/>
  <c r="P5" i="1"/>
  <c r="P6" i="1"/>
  <c r="P7" i="1"/>
  <c r="P8" i="1"/>
  <c r="P9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2" i="1"/>
</calcChain>
</file>

<file path=xl/sharedStrings.xml><?xml version="1.0" encoding="utf-8"?>
<sst xmlns="http://schemas.openxmlformats.org/spreadsheetml/2006/main" count="498" uniqueCount="194">
  <si>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</si>
  <si>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</si>
  <si>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</si>
  <si>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</si>
  <si>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</si>
  <si>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</si>
  <si>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</si>
  <si>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</si>
  <si>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</si>
  <si>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</si>
  <si>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</si>
  <si>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</si>
  <si>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</si>
  <si>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</si>
  <si>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</si>
  <si>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</si>
  <si>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</si>
  <si>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</si>
  <si>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</si>
  <si>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</si>
  <si>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</si>
  <si>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</si>
  <si>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</si>
  <si>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</si>
  <si>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</si>
  <si>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</si>
  <si>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</si>
  <si>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</si>
  <si>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</si>
  <si>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</si>
  <si>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</si>
  <si>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</si>
  <si>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</si>
  <si>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</si>
  <si>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</si>
  <si>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</si>
  <si>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</si>
  <si>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</si>
  <si>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</si>
  <si>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</si>
  <si>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</si>
  <si>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</si>
  <si>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</si>
  <si>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</si>
  <si>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</si>
  <si>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</si>
  <si>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</si>
  <si>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</si>
  <si>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</si>
  <si>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</si>
  <si>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</si>
  <si>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</si>
  <si>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</si>
  <si>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</si>
  <si>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</si>
  <si>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</si>
  <si>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</si>
  <si>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</si>
  <si>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</si>
  <si>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</si>
  <si>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</si>
  <si>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</si>
  <si>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</si>
  <si>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</si>
  <si>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</si>
  <si>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</si>
  <si>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</si>
  <si>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</si>
  <si>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</si>
  <si>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</si>
  <si>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</si>
  <si>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</si>
  <si>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</si>
  <si>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</si>
  <si>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</si>
  <si>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</si>
  <si>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</si>
  <si>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</si>
  <si>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</si>
  <si>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</si>
  <si>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</si>
  <si>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</si>
  <si>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</si>
  <si>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</si>
  <si>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</si>
  <si>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</si>
  <si>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</si>
  <si>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</si>
  <si>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</si>
  <si>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</si>
  <si>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</si>
  <si>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</si>
  <si>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</si>
  <si>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</si>
  <si>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</si>
  <si>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</si>
  <si>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</si>
  <si>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</si>
  <si>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</si>
  <si>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</si>
  <si>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</si>
  <si>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</si>
  <si>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</si>
  <si>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</si>
  <si>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</si>
  <si>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</si>
  <si>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</si>
  <si>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</si>
  <si>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</si>
  <si>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</si>
  <si>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</si>
  <si>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</si>
  <si>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</si>
  <si>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</si>
  <si>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</si>
  <si>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</si>
  <si>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</si>
  <si>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</si>
  <si>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</si>
  <si>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</si>
  <si>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</si>
  <si>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</si>
  <si>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</si>
  <si>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</si>
  <si>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</si>
  <si>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</si>
  <si>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</si>
  <si>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</si>
  <si>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</si>
  <si>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</si>
  <si>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</si>
  <si>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</si>
  <si>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</si>
  <si>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</si>
  <si>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</si>
  <si>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</si>
  <si>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</si>
  <si>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</si>
  <si>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</si>
  <si>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</si>
  <si>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</si>
  <si>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</si>
  <si>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</si>
  <si>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</si>
  <si>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</si>
  <si>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</si>
  <si>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</si>
  <si>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</si>
  <si>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</si>
  <si>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</si>
  <si>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</si>
  <si>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</si>
  <si>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</si>
  <si>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</si>
  <si>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</si>
  <si>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</si>
  <si>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</si>
  <si>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</si>
  <si>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</si>
  <si>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</si>
  <si>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</si>
  <si>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</si>
  <si>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</si>
  <si>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</si>
  <si>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</si>
  <si>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</si>
  <si>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</si>
  <si>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</si>
  <si>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</si>
  <si>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</si>
  <si>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</si>
  <si>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Monitor</t>
  </si>
  <si>
    <t>Headset</t>
  </si>
  <si>
    <t>Keyboard</t>
  </si>
  <si>
    <t>Mouse</t>
  </si>
  <si>
    <t>Laptop</t>
  </si>
  <si>
    <t xml:space="preserve">Mouse </t>
  </si>
  <si>
    <t>Electronics</t>
  </si>
  <si>
    <t>Accessories</t>
  </si>
  <si>
    <t>North</t>
  </si>
  <si>
    <t>East</t>
  </si>
  <si>
    <t>West</t>
  </si>
  <si>
    <t>South</t>
  </si>
  <si>
    <t>Cash</t>
  </si>
  <si>
    <t>UPI</t>
  </si>
  <si>
    <t>Net Banking</t>
  </si>
  <si>
    <t>Card</t>
  </si>
  <si>
    <t xml:space="preserve">Card </t>
  </si>
  <si>
    <t>C1016</t>
  </si>
  <si>
    <t xml:space="preserve"> </t>
  </si>
  <si>
    <t>Month</t>
  </si>
  <si>
    <t>Month_No</t>
  </si>
  <si>
    <t>Profit_Margin_%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</si>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</sst>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workbookViewId="0">
      <selection activeCell="R9" sqref="R9"/>
    </sheetView>
  </sheetViews>
  <sheetFormatPr defaultRowHeight="15" x14ac:dyDescent="0.25"/>
  <cols>
    <col min="1" max="1" width="12" style="4" customWidth="1"/>
    <col min="2" max="2" width="22.85546875" style="5" customWidth="1"/>
    <col min="3" max="4" width="9.140625" style="4"/>
    <col min="5" max="5" width="12.28515625" style="4" customWidth="1"/>
    <col min="6" max="7" width="9.140625" style="4"/>
    <col min="8" max="8" width="13.7109375" style="4" customWidth="1"/>
    <col min="9" max="9" width="12.7109375" style="4" customWidth="1"/>
    <col min="10" max="10" width="15.7109375" style="4" customWidth="1"/>
    <col min="11" max="12" width="9.140625" style="4"/>
    <col min="13" max="13" width="10.28515625" style="4" customWidth="1"/>
    <col min="14" max="14" width="10.85546875" style="4" customWidth="1"/>
    <col min="15" max="15" width="12.28515625" style="4" customWidth="1"/>
    <col min="16" max="16" width="17.7109375" style="4" customWidth="1"/>
  </cols>
  <sheetData>
    <row r="1" spans="1:18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190</v>
      </c>
      <c r="O1" s="2" t="s">
        <v>191</v>
      </c>
      <c r="P1" s="2" t="s">
        <v>192</v>
      </c>
    </row>
    <row r="2" spans="1:18" x14ac:dyDescent="0.25">
      <c r="A2" s="4" t="s">
        <v>13</v>
      </c>
      <c r="B2" s="5">
        <v>46023</v>
      </c>
      <c r="C2" s="4" t="s">
        <v>93</v>
      </c>
      <c r="D2" s="4" t="s">
        <v>171</v>
      </c>
      <c r="E2" s="4" t="s">
        <v>177</v>
      </c>
      <c r="F2" s="4" t="s">
        <v>179</v>
      </c>
      <c r="G2" s="4">
        <v>3</v>
      </c>
      <c r="H2" s="4">
        <v>13962</v>
      </c>
      <c r="I2" s="4">
        <v>0</v>
      </c>
      <c r="J2" s="4" t="s">
        <v>183</v>
      </c>
      <c r="K2" s="4">
        <v>41886</v>
      </c>
      <c r="L2" s="4">
        <v>28238.14</v>
      </c>
      <c r="M2" s="4">
        <v>13647.86</v>
      </c>
      <c r="N2" s="4" t="str">
        <f>TEXT(B2,"MMM")</f>
        <v>Jan</v>
      </c>
      <c r="O2" s="4">
        <f>MONTH(B2)</f>
        <v>1</v>
      </c>
      <c r="P2" s="6">
        <f>M2/K2</f>
        <v>0.32583345270496111</v>
      </c>
    </row>
    <row r="3" spans="1:18" x14ac:dyDescent="0.25">
      <c r="A3" s="4" t="s">
        <v>14</v>
      </c>
      <c r="B3" s="5">
        <v>46025.278481012647</v>
      </c>
      <c r="C3" s="4" t="s">
        <v>94</v>
      </c>
      <c r="D3" s="4" t="s">
        <v>172</v>
      </c>
      <c r="E3" s="4" t="s">
        <v>178</v>
      </c>
      <c r="F3" s="4" t="s">
        <v>179</v>
      </c>
      <c r="G3" s="4">
        <v>1</v>
      </c>
      <c r="H3" s="4">
        <v>3480</v>
      </c>
      <c r="I3" s="4">
        <v>5</v>
      </c>
      <c r="J3" s="4" t="s">
        <v>184</v>
      </c>
      <c r="K3" s="4">
        <v>3306</v>
      </c>
      <c r="L3" s="4">
        <v>2339.9699999999998</v>
      </c>
      <c r="M3" s="4">
        <v>966.03</v>
      </c>
      <c r="N3" s="4" t="str">
        <f t="shared" ref="N3:N66" si="0">TEXT(B3,"MMM")</f>
        <v>Jan</v>
      </c>
      <c r="O3" s="4">
        <f t="shared" ref="O3:O66" si="1">MONTH(B3)</f>
        <v>1</v>
      </c>
      <c r="P3" s="6">
        <f t="shared" ref="P3:P66" si="2">M3/K3</f>
        <v>0.29220508166969145</v>
      </c>
    </row>
    <row r="4" spans="1:18" x14ac:dyDescent="0.25">
      <c r="A4" s="4" t="s">
        <v>15</v>
      </c>
      <c r="B4" s="5">
        <v>46027.556962025323</v>
      </c>
      <c r="C4" s="4" t="s">
        <v>95</v>
      </c>
      <c r="D4" s="4" t="s">
        <v>173</v>
      </c>
      <c r="E4" s="4" t="s">
        <v>178</v>
      </c>
      <c r="F4" s="4" t="s">
        <v>179</v>
      </c>
      <c r="G4" s="4">
        <v>2</v>
      </c>
      <c r="H4" s="4">
        <v>2160</v>
      </c>
      <c r="I4" s="4">
        <v>10</v>
      </c>
      <c r="J4" s="4" t="s">
        <v>183</v>
      </c>
      <c r="K4" s="4">
        <v>3888</v>
      </c>
      <c r="L4" s="4">
        <v>2471.5700000000002</v>
      </c>
      <c r="M4" s="4">
        <v>1416.43</v>
      </c>
      <c r="N4" s="4" t="str">
        <f t="shared" si="0"/>
        <v>Jan</v>
      </c>
      <c r="O4" s="4">
        <f t="shared" si="1"/>
        <v>1</v>
      </c>
      <c r="P4" s="6">
        <f>M4/K4</f>
        <v>0.36430812757201647</v>
      </c>
      <c r="R4" t="s">
        <v>189</v>
      </c>
    </row>
    <row r="5" spans="1:18" x14ac:dyDescent="0.25">
      <c r="A5" s="4" t="s">
        <v>16</v>
      </c>
      <c r="B5" s="5">
        <v>46029.835443037977</v>
      </c>
      <c r="C5" s="4" t="s">
        <v>96</v>
      </c>
      <c r="D5" s="4" t="s">
        <v>172</v>
      </c>
      <c r="E5" s="4" t="s">
        <v>178</v>
      </c>
      <c r="F5" s="4" t="s">
        <v>182</v>
      </c>
      <c r="G5" s="4">
        <v>2</v>
      </c>
      <c r="H5" s="4">
        <v>3379</v>
      </c>
      <c r="I5" s="4">
        <v>5</v>
      </c>
      <c r="J5" s="4" t="s">
        <v>183</v>
      </c>
      <c r="K5" s="4">
        <v>6420.1</v>
      </c>
      <c r="L5" s="4">
        <v>4013.01</v>
      </c>
      <c r="M5" s="4">
        <v>2407.09</v>
      </c>
      <c r="N5" s="4" t="str">
        <f t="shared" si="0"/>
        <v>Jan</v>
      </c>
      <c r="O5" s="4">
        <f t="shared" si="1"/>
        <v>1</v>
      </c>
      <c r="P5" s="6">
        <f t="shared" si="2"/>
        <v>0.37493029703587172</v>
      </c>
    </row>
    <row r="6" spans="1:18" x14ac:dyDescent="0.25">
      <c r="A6" s="4" t="s">
        <v>17</v>
      </c>
      <c r="B6" s="5">
        <v>46032.113924050624</v>
      </c>
      <c r="C6" s="4" t="s">
        <v>97</v>
      </c>
      <c r="D6" s="4" t="s">
        <v>172</v>
      </c>
      <c r="E6" s="4" t="s">
        <v>178</v>
      </c>
      <c r="F6" s="4" t="s">
        <v>179</v>
      </c>
      <c r="G6" s="4">
        <v>4</v>
      </c>
      <c r="H6" s="4">
        <v>3197</v>
      </c>
      <c r="I6" s="4">
        <v>10</v>
      </c>
      <c r="J6" s="4" t="s">
        <v>184</v>
      </c>
      <c r="K6" s="4">
        <v>11509.2</v>
      </c>
      <c r="L6" s="4">
        <v>9351.57</v>
      </c>
      <c r="M6" s="4">
        <v>2157.63</v>
      </c>
      <c r="N6" s="4" t="str">
        <f t="shared" si="0"/>
        <v>Jan</v>
      </c>
      <c r="O6" s="4">
        <f t="shared" si="1"/>
        <v>1</v>
      </c>
      <c r="P6" s="6">
        <f t="shared" si="2"/>
        <v>0.18747002398081536</v>
      </c>
    </row>
    <row r="7" spans="1:18" x14ac:dyDescent="0.25">
      <c r="A7" s="4" t="s">
        <v>18</v>
      </c>
      <c r="B7" s="5">
        <v>46034.392405063278</v>
      </c>
      <c r="C7" s="4" t="s">
        <v>98</v>
      </c>
      <c r="D7" s="4" t="s">
        <v>174</v>
      </c>
      <c r="E7" s="4" t="s">
        <v>178</v>
      </c>
      <c r="F7" s="4" t="s">
        <v>179</v>
      </c>
      <c r="G7" s="4">
        <v>5</v>
      </c>
      <c r="H7" s="4">
        <v>1276</v>
      </c>
      <c r="I7" s="4">
        <v>5</v>
      </c>
      <c r="J7" s="4" t="s">
        <v>185</v>
      </c>
      <c r="K7" s="4">
        <v>6061</v>
      </c>
      <c r="L7" s="4">
        <v>4771.2</v>
      </c>
      <c r="M7" s="4">
        <v>1289.8</v>
      </c>
      <c r="N7" s="4" t="str">
        <f t="shared" si="0"/>
        <v>Jan</v>
      </c>
      <c r="O7" s="4">
        <f t="shared" si="1"/>
        <v>1</v>
      </c>
      <c r="P7" s="6">
        <f t="shared" si="2"/>
        <v>0.21280316779409339</v>
      </c>
      <c r="R7" t="s">
        <v>189</v>
      </c>
    </row>
    <row r="8" spans="1:18" x14ac:dyDescent="0.25">
      <c r="A8" s="4" t="s">
        <v>19</v>
      </c>
      <c r="B8" s="5">
        <v>46036.670886075954</v>
      </c>
      <c r="C8" s="4" t="s">
        <v>99</v>
      </c>
      <c r="D8" s="4" t="s">
        <v>173</v>
      </c>
      <c r="E8" s="4" t="s">
        <v>178</v>
      </c>
      <c r="F8" s="4" t="s">
        <v>179</v>
      </c>
      <c r="G8" s="4">
        <v>1</v>
      </c>
      <c r="H8" s="4">
        <v>2503</v>
      </c>
      <c r="I8" s="4">
        <v>0</v>
      </c>
      <c r="J8" s="4" t="s">
        <v>184</v>
      </c>
      <c r="K8" s="4">
        <v>2503</v>
      </c>
      <c r="L8" s="4">
        <v>1900.26</v>
      </c>
      <c r="M8" s="4">
        <v>602.74</v>
      </c>
      <c r="N8" s="4" t="str">
        <f t="shared" si="0"/>
        <v>Jan</v>
      </c>
      <c r="O8" s="4">
        <f t="shared" si="1"/>
        <v>1</v>
      </c>
      <c r="P8" s="6">
        <f t="shared" si="2"/>
        <v>0.24080703156212546</v>
      </c>
    </row>
    <row r="9" spans="1:18" x14ac:dyDescent="0.25">
      <c r="A9" s="4" t="s">
        <v>20</v>
      </c>
      <c r="B9" s="5">
        <v>46038.9493670886</v>
      </c>
      <c r="C9" s="4" t="s">
        <v>100</v>
      </c>
      <c r="D9" s="4" t="s">
        <v>173</v>
      </c>
      <c r="E9" s="4" t="s">
        <v>178</v>
      </c>
      <c r="F9" s="4" t="s">
        <v>180</v>
      </c>
      <c r="G9" s="4">
        <v>1</v>
      </c>
      <c r="H9" s="4">
        <v>2391</v>
      </c>
      <c r="I9" s="4">
        <v>15</v>
      </c>
      <c r="J9" s="4" t="s">
        <v>185</v>
      </c>
      <c r="K9" s="4">
        <v>2032.35</v>
      </c>
      <c r="L9" s="4">
        <v>1426.28</v>
      </c>
      <c r="M9" s="4">
        <v>606.07000000000005</v>
      </c>
      <c r="N9" s="4" t="str">
        <f t="shared" si="0"/>
        <v>Jan</v>
      </c>
      <c r="O9" s="4">
        <f t="shared" si="1"/>
        <v>1</v>
      </c>
      <c r="P9" s="6">
        <f t="shared" si="2"/>
        <v>0.2982114301178439</v>
      </c>
    </row>
    <row r="10" spans="1:18" x14ac:dyDescent="0.25">
      <c r="A10" s="4" t="s">
        <v>21</v>
      </c>
      <c r="B10" s="5">
        <v>46041.227848101262</v>
      </c>
      <c r="C10" s="4" t="s">
        <v>101</v>
      </c>
      <c r="D10" s="4" t="s">
        <v>173</v>
      </c>
      <c r="E10" s="4" t="s">
        <v>178</v>
      </c>
      <c r="F10" s="4" t="s">
        <v>179</v>
      </c>
      <c r="G10" s="4">
        <v>3</v>
      </c>
      <c r="H10" s="4">
        <v>2134</v>
      </c>
      <c r="I10" s="4">
        <v>0</v>
      </c>
      <c r="J10" s="4" t="s">
        <v>184</v>
      </c>
      <c r="K10" s="4">
        <v>6402</v>
      </c>
      <c r="L10" s="4">
        <v>4191.13</v>
      </c>
      <c r="M10" s="4">
        <v>2210.87</v>
      </c>
      <c r="N10" s="4" t="str">
        <f t="shared" si="0"/>
        <v>Jan</v>
      </c>
      <c r="O10" s="4">
        <f t="shared" si="1"/>
        <v>1</v>
      </c>
      <c r="P10" s="6">
        <f t="shared" si="2"/>
        <v>0.34534051858794124</v>
      </c>
    </row>
    <row r="11" spans="1:18" x14ac:dyDescent="0.25">
      <c r="A11" s="4" t="s">
        <v>22</v>
      </c>
      <c r="B11" s="5">
        <v>46043.506329113923</v>
      </c>
      <c r="C11" s="4" t="s">
        <v>102</v>
      </c>
      <c r="D11" s="4" t="s">
        <v>172</v>
      </c>
      <c r="E11" s="4" t="s">
        <v>178</v>
      </c>
      <c r="F11" s="4" t="s">
        <v>181</v>
      </c>
      <c r="G11" s="4">
        <v>2</v>
      </c>
      <c r="H11" s="4">
        <v>2994</v>
      </c>
      <c r="I11" s="4">
        <v>15</v>
      </c>
      <c r="J11" s="4" t="s">
        <v>183</v>
      </c>
      <c r="K11" s="4">
        <v>5089.8</v>
      </c>
      <c r="L11" s="4">
        <v>3314.92</v>
      </c>
      <c r="M11" s="4">
        <v>1774.88</v>
      </c>
      <c r="N11" s="4" t="str">
        <f t="shared" si="0"/>
        <v>Jan</v>
      </c>
      <c r="O11" s="4">
        <f t="shared" si="1"/>
        <v>1</v>
      </c>
      <c r="P11" s="6">
        <f t="shared" si="2"/>
        <v>0.34871311249950881</v>
      </c>
    </row>
    <row r="12" spans="1:18" x14ac:dyDescent="0.25">
      <c r="A12" s="4" t="s">
        <v>23</v>
      </c>
      <c r="B12" s="5">
        <v>46045.784810126577</v>
      </c>
      <c r="C12" s="4" t="s">
        <v>103</v>
      </c>
      <c r="D12" s="4" t="s">
        <v>171</v>
      </c>
      <c r="E12" s="4" t="s">
        <v>177</v>
      </c>
      <c r="F12" s="4" t="s">
        <v>179</v>
      </c>
      <c r="G12" s="4">
        <v>5</v>
      </c>
      <c r="H12" s="4">
        <v>14200</v>
      </c>
      <c r="I12" s="4">
        <v>5</v>
      </c>
      <c r="J12" s="4" t="s">
        <v>183</v>
      </c>
      <c r="K12" s="4">
        <v>67450</v>
      </c>
      <c r="L12" s="4">
        <v>45194.78</v>
      </c>
      <c r="M12" s="4">
        <v>22255.22</v>
      </c>
      <c r="N12" s="4" t="str">
        <f t="shared" si="0"/>
        <v>Jan</v>
      </c>
      <c r="O12" s="4">
        <f t="shared" si="1"/>
        <v>1</v>
      </c>
      <c r="P12" s="6">
        <f t="shared" si="2"/>
        <v>0.329951371386212</v>
      </c>
    </row>
    <row r="13" spans="1:18" x14ac:dyDescent="0.25">
      <c r="A13" s="4" t="s">
        <v>24</v>
      </c>
      <c r="B13" s="5">
        <v>46048.063291139239</v>
      </c>
      <c r="C13" s="4" t="s">
        <v>104</v>
      </c>
      <c r="D13" s="4" t="s">
        <v>173</v>
      </c>
      <c r="E13" s="4" t="s">
        <v>178</v>
      </c>
      <c r="F13" s="4" t="s">
        <v>181</v>
      </c>
      <c r="G13" s="4">
        <v>4</v>
      </c>
      <c r="H13" s="4">
        <v>2639</v>
      </c>
      <c r="I13" s="4">
        <v>10</v>
      </c>
      <c r="J13" s="4" t="s">
        <v>186</v>
      </c>
      <c r="K13" s="4">
        <v>9500.4</v>
      </c>
      <c r="L13" s="4">
        <v>6933.82</v>
      </c>
      <c r="M13" s="4">
        <v>2566.58</v>
      </c>
      <c r="N13" s="4" t="str">
        <f t="shared" si="0"/>
        <v>Jan</v>
      </c>
      <c r="O13" s="4">
        <f t="shared" si="1"/>
        <v>1</v>
      </c>
      <c r="P13" s="6">
        <f t="shared" si="2"/>
        <v>0.27015494084459601</v>
      </c>
    </row>
    <row r="14" spans="1:18" x14ac:dyDescent="0.25">
      <c r="A14" s="4" t="s">
        <v>25</v>
      </c>
      <c r="B14" s="5">
        <v>46050.3417721519</v>
      </c>
      <c r="C14" s="4" t="s">
        <v>105</v>
      </c>
      <c r="D14" s="4" t="s">
        <v>172</v>
      </c>
      <c r="E14" s="4" t="s">
        <v>178</v>
      </c>
      <c r="F14" s="4" t="s">
        <v>181</v>
      </c>
      <c r="G14" s="4">
        <v>2</v>
      </c>
      <c r="H14" s="4">
        <v>2832</v>
      </c>
      <c r="I14" s="4">
        <v>0</v>
      </c>
      <c r="J14" s="4" t="s">
        <v>185</v>
      </c>
      <c r="K14" s="4">
        <v>5664</v>
      </c>
      <c r="L14" s="4">
        <v>4321.17</v>
      </c>
      <c r="M14" s="4">
        <v>1342.83</v>
      </c>
      <c r="N14" s="4" t="str">
        <f t="shared" si="0"/>
        <v>Jan</v>
      </c>
      <c r="O14" s="4">
        <f t="shared" si="1"/>
        <v>1</v>
      </c>
      <c r="P14" s="6">
        <f t="shared" si="2"/>
        <v>0.23708156779661016</v>
      </c>
    </row>
    <row r="15" spans="1:18" x14ac:dyDescent="0.25">
      <c r="A15" s="4" t="s">
        <v>26</v>
      </c>
      <c r="B15" s="5">
        <v>46052.620253164547</v>
      </c>
      <c r="C15" s="4" t="s">
        <v>106</v>
      </c>
      <c r="D15" s="4" t="s">
        <v>174</v>
      </c>
      <c r="E15" s="4" t="s">
        <v>178</v>
      </c>
      <c r="F15" s="4" t="s">
        <v>181</v>
      </c>
      <c r="G15" s="4">
        <v>4</v>
      </c>
      <c r="H15" s="4">
        <v>1687</v>
      </c>
      <c r="I15" s="4">
        <v>15</v>
      </c>
      <c r="J15" s="4" t="s">
        <v>186</v>
      </c>
      <c r="K15" s="4">
        <v>5735.8</v>
      </c>
      <c r="L15" s="4">
        <v>4313.55</v>
      </c>
      <c r="M15" s="4">
        <v>1422.25</v>
      </c>
      <c r="N15" s="4" t="str">
        <f t="shared" si="0"/>
        <v>Jan</v>
      </c>
      <c r="O15" s="4">
        <f t="shared" si="1"/>
        <v>1</v>
      </c>
      <c r="P15" s="6">
        <f t="shared" si="2"/>
        <v>0.24796017992259142</v>
      </c>
    </row>
    <row r="16" spans="1:18" x14ac:dyDescent="0.25">
      <c r="A16" s="4" t="s">
        <v>27</v>
      </c>
      <c r="B16" s="5">
        <v>46054.898734177208</v>
      </c>
      <c r="C16" s="4" t="s">
        <v>107</v>
      </c>
      <c r="D16" s="4" t="s">
        <v>171</v>
      </c>
      <c r="E16" s="4" t="s">
        <v>177</v>
      </c>
      <c r="F16" s="4" t="s">
        <v>180</v>
      </c>
      <c r="G16" s="4">
        <v>3</v>
      </c>
      <c r="H16" s="4">
        <v>14259</v>
      </c>
      <c r="I16" s="4">
        <v>0</v>
      </c>
      <c r="J16" s="4" t="s">
        <v>186</v>
      </c>
      <c r="K16" s="4">
        <v>42777</v>
      </c>
      <c r="L16" s="4">
        <v>28916.69</v>
      </c>
      <c r="M16" s="4">
        <v>13860.31</v>
      </c>
      <c r="N16" s="4" t="str">
        <f t="shared" si="0"/>
        <v>Feb</v>
      </c>
      <c r="O16" s="4">
        <f t="shared" si="1"/>
        <v>2</v>
      </c>
      <c r="P16" s="6">
        <f t="shared" si="2"/>
        <v>0.32401313790120856</v>
      </c>
    </row>
    <row r="17" spans="1:16" x14ac:dyDescent="0.25">
      <c r="A17" s="4" t="s">
        <v>28</v>
      </c>
      <c r="B17" s="5">
        <v>46057.177215189869</v>
      </c>
      <c r="C17" s="4" t="s">
        <v>188</v>
      </c>
      <c r="D17" s="4" t="s">
        <v>174</v>
      </c>
      <c r="E17" s="4" t="s">
        <v>178</v>
      </c>
      <c r="F17" s="4" t="s">
        <v>180</v>
      </c>
      <c r="G17" s="4">
        <v>3</v>
      </c>
      <c r="H17" s="4">
        <v>1469</v>
      </c>
      <c r="I17" s="4">
        <v>15</v>
      </c>
      <c r="J17" s="4" t="s">
        <v>184</v>
      </c>
      <c r="K17" s="4">
        <v>3745.95</v>
      </c>
      <c r="L17" s="4">
        <v>3037.86</v>
      </c>
      <c r="M17" s="4">
        <v>708.09</v>
      </c>
      <c r="N17" s="4" t="str">
        <f t="shared" si="0"/>
        <v>Feb</v>
      </c>
      <c r="O17" s="4">
        <f t="shared" si="1"/>
        <v>2</v>
      </c>
      <c r="P17" s="6">
        <f t="shared" si="2"/>
        <v>0.18902815040243465</v>
      </c>
    </row>
    <row r="18" spans="1:16" x14ac:dyDescent="0.25">
      <c r="A18" s="4" t="s">
        <v>29</v>
      </c>
      <c r="B18" s="5">
        <v>46059.455696202524</v>
      </c>
      <c r="C18" s="4" t="s">
        <v>108</v>
      </c>
      <c r="D18" s="4" t="s">
        <v>171</v>
      </c>
      <c r="E18" s="4" t="s">
        <v>177</v>
      </c>
      <c r="F18" s="4" t="s">
        <v>180</v>
      </c>
      <c r="G18" s="4">
        <v>1</v>
      </c>
      <c r="H18" s="4">
        <v>14174</v>
      </c>
      <c r="I18" s="4">
        <v>0</v>
      </c>
      <c r="J18" s="4" t="s">
        <v>186</v>
      </c>
      <c r="K18" s="4">
        <v>14174</v>
      </c>
      <c r="L18" s="4">
        <v>10879.67</v>
      </c>
      <c r="M18" s="4">
        <v>3294.33</v>
      </c>
      <c r="N18" s="4" t="str">
        <f t="shared" si="0"/>
        <v>Feb</v>
      </c>
      <c r="O18" s="4">
        <f t="shared" si="1"/>
        <v>2</v>
      </c>
      <c r="P18" s="6">
        <f t="shared" si="2"/>
        <v>0.23242062932129251</v>
      </c>
    </row>
    <row r="19" spans="1:16" x14ac:dyDescent="0.25">
      <c r="A19" s="4" t="s">
        <v>30</v>
      </c>
      <c r="B19" s="5">
        <v>46061.734177215178</v>
      </c>
      <c r="C19" s="4" t="s">
        <v>109</v>
      </c>
      <c r="D19" s="4" t="s">
        <v>172</v>
      </c>
      <c r="E19" s="4" t="s">
        <v>178</v>
      </c>
      <c r="F19" s="4" t="s">
        <v>179</v>
      </c>
      <c r="G19" s="4">
        <v>5</v>
      </c>
      <c r="H19" s="4">
        <v>2821</v>
      </c>
      <c r="I19" s="4">
        <v>15</v>
      </c>
      <c r="J19" s="4" t="s">
        <v>184</v>
      </c>
      <c r="K19" s="4">
        <v>11989.25</v>
      </c>
      <c r="L19" s="4">
        <v>8762.59</v>
      </c>
      <c r="M19" s="4">
        <v>3226.66</v>
      </c>
      <c r="N19" s="4" t="str">
        <f t="shared" si="0"/>
        <v>Feb</v>
      </c>
      <c r="O19" s="4">
        <f t="shared" si="1"/>
        <v>2</v>
      </c>
      <c r="P19" s="6">
        <f t="shared" si="2"/>
        <v>0.26912942844631649</v>
      </c>
    </row>
    <row r="20" spans="1:16" x14ac:dyDescent="0.25">
      <c r="A20" s="4" t="s">
        <v>31</v>
      </c>
      <c r="B20" s="5">
        <v>46064.012658227854</v>
      </c>
      <c r="C20" s="4" t="s">
        <v>110</v>
      </c>
      <c r="D20" s="4" t="s">
        <v>175</v>
      </c>
      <c r="E20" s="4" t="s">
        <v>177</v>
      </c>
      <c r="F20" s="4" t="s">
        <v>181</v>
      </c>
      <c r="G20" s="4">
        <v>4</v>
      </c>
      <c r="H20" s="4">
        <v>55469</v>
      </c>
      <c r="I20" s="4">
        <v>15</v>
      </c>
      <c r="J20" s="4" t="s">
        <v>184</v>
      </c>
      <c r="K20" s="4">
        <v>188594.6</v>
      </c>
      <c r="L20" s="4">
        <v>140002.1</v>
      </c>
      <c r="M20" s="4">
        <v>48592.5</v>
      </c>
      <c r="N20" s="4" t="str">
        <f t="shared" si="0"/>
        <v>Feb</v>
      </c>
      <c r="O20" s="4">
        <f t="shared" si="1"/>
        <v>2</v>
      </c>
      <c r="P20" s="6">
        <f t="shared" si="2"/>
        <v>0.25765583956274463</v>
      </c>
    </row>
    <row r="21" spans="1:16" x14ac:dyDescent="0.25">
      <c r="A21" s="4" t="s">
        <v>32</v>
      </c>
      <c r="B21" s="5">
        <v>46066.2911392405</v>
      </c>
      <c r="C21" s="4" t="s">
        <v>111</v>
      </c>
      <c r="D21" s="4" t="s">
        <v>171</v>
      </c>
      <c r="E21" s="4" t="s">
        <v>177</v>
      </c>
      <c r="F21" s="4" t="s">
        <v>180</v>
      </c>
      <c r="G21" s="4">
        <v>2</v>
      </c>
      <c r="H21" s="4">
        <v>13837</v>
      </c>
      <c r="I21" s="4">
        <v>5</v>
      </c>
      <c r="J21" s="4" t="s">
        <v>186</v>
      </c>
      <c r="K21" s="4">
        <v>26290.3</v>
      </c>
      <c r="L21" s="4">
        <v>18506.27</v>
      </c>
      <c r="M21" s="4">
        <v>7784.03</v>
      </c>
      <c r="N21" s="4" t="str">
        <f t="shared" si="0"/>
        <v>Feb</v>
      </c>
      <c r="O21" s="4">
        <f t="shared" si="1"/>
        <v>2</v>
      </c>
      <c r="P21" s="6">
        <f t="shared" si="2"/>
        <v>0.29607992301343083</v>
      </c>
    </row>
    <row r="22" spans="1:16" x14ac:dyDescent="0.25">
      <c r="A22" s="4" t="s">
        <v>33</v>
      </c>
      <c r="B22" s="5">
        <v>46068.569620253162</v>
      </c>
      <c r="C22" s="4" t="s">
        <v>112</v>
      </c>
      <c r="D22" s="4" t="s">
        <v>174</v>
      </c>
      <c r="E22" s="4" t="s">
        <v>178</v>
      </c>
      <c r="F22" s="4" t="s">
        <v>180</v>
      </c>
      <c r="G22" s="4">
        <v>3</v>
      </c>
      <c r="H22" s="4">
        <v>1229</v>
      </c>
      <c r="I22" s="4">
        <v>15</v>
      </c>
      <c r="J22" s="4" t="s">
        <v>185</v>
      </c>
      <c r="K22" s="4">
        <v>3133.95</v>
      </c>
      <c r="L22" s="4">
        <v>2098.3200000000002</v>
      </c>
      <c r="M22" s="4">
        <v>1035.6300000000001</v>
      </c>
      <c r="N22" s="4" t="str">
        <f t="shared" si="0"/>
        <v>Feb</v>
      </c>
      <c r="O22" s="4">
        <f t="shared" si="1"/>
        <v>2</v>
      </c>
      <c r="P22" s="6">
        <f t="shared" si="2"/>
        <v>0.33045517637486244</v>
      </c>
    </row>
    <row r="23" spans="1:16" x14ac:dyDescent="0.25">
      <c r="A23" s="4" t="s">
        <v>34</v>
      </c>
      <c r="B23" s="5">
        <v>46070.848101265823</v>
      </c>
      <c r="C23" s="4" t="s">
        <v>113</v>
      </c>
      <c r="D23" s="4" t="s">
        <v>172</v>
      </c>
      <c r="E23" s="4" t="s">
        <v>178</v>
      </c>
      <c r="F23" s="4" t="s">
        <v>179</v>
      </c>
      <c r="G23" s="4">
        <v>1</v>
      </c>
      <c r="H23" s="4">
        <v>3164</v>
      </c>
      <c r="I23" s="4">
        <v>5</v>
      </c>
      <c r="J23" s="4" t="s">
        <v>185</v>
      </c>
      <c r="K23" s="4">
        <v>3005.8</v>
      </c>
      <c r="L23" s="4">
        <v>2077.59</v>
      </c>
      <c r="M23" s="4">
        <v>928.21</v>
      </c>
      <c r="N23" s="4" t="str">
        <f t="shared" si="0"/>
        <v>Feb</v>
      </c>
      <c r="O23" s="4">
        <f t="shared" si="1"/>
        <v>2</v>
      </c>
      <c r="P23" s="6">
        <f t="shared" si="2"/>
        <v>0.30880630780491047</v>
      </c>
    </row>
    <row r="24" spans="1:16" x14ac:dyDescent="0.25">
      <c r="A24" s="4" t="s">
        <v>35</v>
      </c>
      <c r="B24" s="5">
        <v>46073.12658227847</v>
      </c>
      <c r="C24" s="4" t="s">
        <v>114</v>
      </c>
      <c r="D24" s="4" t="s">
        <v>176</v>
      </c>
      <c r="E24" s="4" t="s">
        <v>177</v>
      </c>
      <c r="F24" s="4" t="s">
        <v>180</v>
      </c>
      <c r="G24" s="4">
        <v>1</v>
      </c>
      <c r="H24" s="4">
        <v>14362</v>
      </c>
      <c r="I24" s="4">
        <v>15</v>
      </c>
      <c r="J24" s="4" t="s">
        <v>185</v>
      </c>
      <c r="K24" s="4">
        <v>12207.7</v>
      </c>
      <c r="L24" s="4">
        <v>9419.09</v>
      </c>
      <c r="M24" s="4">
        <v>2788.61</v>
      </c>
      <c r="N24" s="4" t="str">
        <f t="shared" si="0"/>
        <v>Feb</v>
      </c>
      <c r="O24" s="4">
        <f t="shared" si="1"/>
        <v>2</v>
      </c>
      <c r="P24" s="6">
        <f t="shared" si="2"/>
        <v>0.2284304168680423</v>
      </c>
    </row>
    <row r="25" spans="1:16" x14ac:dyDescent="0.25">
      <c r="A25" s="4" t="s">
        <v>36</v>
      </c>
      <c r="B25" s="5">
        <v>46075.405063291131</v>
      </c>
      <c r="C25" s="4" t="s">
        <v>115</v>
      </c>
      <c r="D25" s="4" t="s">
        <v>175</v>
      </c>
      <c r="E25" s="4" t="s">
        <v>177</v>
      </c>
      <c r="F25" s="4" t="s">
        <v>179</v>
      </c>
      <c r="G25" s="4">
        <v>4</v>
      </c>
      <c r="H25" s="4">
        <v>55237</v>
      </c>
      <c r="I25" s="4">
        <v>10</v>
      </c>
      <c r="J25" s="4" t="s">
        <v>185</v>
      </c>
      <c r="K25" s="4">
        <v>198853.2</v>
      </c>
      <c r="L25" s="4">
        <v>123861.42</v>
      </c>
      <c r="M25" s="4">
        <v>74991.78</v>
      </c>
      <c r="N25" s="4" t="str">
        <f t="shared" si="0"/>
        <v>Feb</v>
      </c>
      <c r="O25" s="4">
        <f t="shared" si="1"/>
        <v>2</v>
      </c>
      <c r="P25" s="6">
        <f t="shared" si="2"/>
        <v>0.37712131361225265</v>
      </c>
    </row>
    <row r="26" spans="1:16" x14ac:dyDescent="0.25">
      <c r="A26" s="4" t="s">
        <v>37</v>
      </c>
      <c r="B26" s="5">
        <v>46077.6835443038</v>
      </c>
      <c r="C26" s="4" t="s">
        <v>116</v>
      </c>
      <c r="D26" s="4" t="s">
        <v>175</v>
      </c>
      <c r="E26" s="4" t="s">
        <v>177</v>
      </c>
      <c r="F26" s="4" t="s">
        <v>182</v>
      </c>
      <c r="G26" s="4">
        <v>3</v>
      </c>
      <c r="H26" s="4">
        <v>55082</v>
      </c>
      <c r="I26" s="4">
        <v>10</v>
      </c>
      <c r="J26" s="4" t="s">
        <v>185</v>
      </c>
      <c r="K26" s="4">
        <v>148721.4</v>
      </c>
      <c r="L26" s="4">
        <v>95659.77</v>
      </c>
      <c r="M26" s="4">
        <v>53061.63</v>
      </c>
      <c r="N26" s="4" t="str">
        <f t="shared" si="0"/>
        <v>Feb</v>
      </c>
      <c r="O26" s="4">
        <f t="shared" si="1"/>
        <v>2</v>
      </c>
      <c r="P26" s="6">
        <f t="shared" si="2"/>
        <v>0.3567854390827413</v>
      </c>
    </row>
    <row r="27" spans="1:16" x14ac:dyDescent="0.25">
      <c r="A27" s="4" t="s">
        <v>38</v>
      </c>
      <c r="B27" s="5">
        <v>46079.962025316447</v>
      </c>
      <c r="C27" s="4" t="s">
        <v>117</v>
      </c>
      <c r="D27" s="4" t="s">
        <v>173</v>
      </c>
      <c r="E27" s="4" t="s">
        <v>178</v>
      </c>
      <c r="F27" s="4" t="s">
        <v>180</v>
      </c>
      <c r="G27" s="4">
        <v>5</v>
      </c>
      <c r="H27" s="4">
        <v>2026</v>
      </c>
      <c r="I27" s="4">
        <v>10</v>
      </c>
      <c r="J27" s="4" t="s">
        <v>186</v>
      </c>
      <c r="K27" s="4">
        <v>9117</v>
      </c>
      <c r="L27" s="4">
        <v>5736.42</v>
      </c>
      <c r="M27" s="4">
        <v>3380.58</v>
      </c>
      <c r="N27" s="4" t="str">
        <f t="shared" si="0"/>
        <v>Feb</v>
      </c>
      <c r="O27" s="4">
        <f t="shared" si="1"/>
        <v>2</v>
      </c>
      <c r="P27" s="6">
        <f t="shared" si="2"/>
        <v>0.37079960513326754</v>
      </c>
    </row>
    <row r="28" spans="1:16" x14ac:dyDescent="0.25">
      <c r="A28" s="4" t="s">
        <v>39</v>
      </c>
      <c r="B28" s="5">
        <v>46082.240506329108</v>
      </c>
      <c r="C28" s="4" t="s">
        <v>118</v>
      </c>
      <c r="D28" s="4" t="s">
        <v>173</v>
      </c>
      <c r="E28" s="4" t="s">
        <v>178</v>
      </c>
      <c r="F28" s="4" t="s">
        <v>182</v>
      </c>
      <c r="G28" s="4">
        <v>3</v>
      </c>
      <c r="H28" s="4">
        <v>2225</v>
      </c>
      <c r="I28" s="4">
        <v>15</v>
      </c>
      <c r="J28" s="4" t="s">
        <v>186</v>
      </c>
      <c r="K28" s="4">
        <v>5673.75</v>
      </c>
      <c r="L28" s="4">
        <v>3563.94</v>
      </c>
      <c r="M28" s="4">
        <v>2109.81</v>
      </c>
      <c r="N28" s="4" t="str">
        <f t="shared" si="0"/>
        <v>Mar</v>
      </c>
      <c r="O28" s="4">
        <f t="shared" si="1"/>
        <v>3</v>
      </c>
      <c r="P28" s="6">
        <f t="shared" si="2"/>
        <v>0.37185459352280237</v>
      </c>
    </row>
    <row r="29" spans="1:16" x14ac:dyDescent="0.25">
      <c r="A29" s="4" t="s">
        <v>40</v>
      </c>
      <c r="B29" s="5">
        <v>46084.518987341769</v>
      </c>
      <c r="C29" s="4" t="s">
        <v>119</v>
      </c>
      <c r="D29" s="4" t="s">
        <v>174</v>
      </c>
      <c r="E29" s="4" t="s">
        <v>178</v>
      </c>
      <c r="F29" s="4" t="s">
        <v>179</v>
      </c>
      <c r="G29" s="4">
        <v>4</v>
      </c>
      <c r="H29" s="4">
        <v>1276</v>
      </c>
      <c r="I29" s="4">
        <v>5</v>
      </c>
      <c r="J29" s="4" t="s">
        <v>183</v>
      </c>
      <c r="K29" s="4">
        <v>4848.8</v>
      </c>
      <c r="L29" s="4">
        <v>3835.85</v>
      </c>
      <c r="M29" s="4">
        <v>1012.95</v>
      </c>
      <c r="N29" s="4" t="str">
        <f t="shared" si="0"/>
        <v>Mar</v>
      </c>
      <c r="O29" s="4">
        <f t="shared" si="1"/>
        <v>3</v>
      </c>
      <c r="P29" s="6">
        <f t="shared" si="2"/>
        <v>0.20890735852169609</v>
      </c>
    </row>
    <row r="30" spans="1:16" x14ac:dyDescent="0.25">
      <c r="A30" s="4" t="s">
        <v>41</v>
      </c>
      <c r="B30" s="5">
        <v>46086.797468354423</v>
      </c>
      <c r="C30" s="4" t="s">
        <v>120</v>
      </c>
      <c r="D30" s="4" t="s">
        <v>171</v>
      </c>
      <c r="E30" s="4" t="s">
        <v>177</v>
      </c>
      <c r="F30" s="4" t="s">
        <v>181</v>
      </c>
      <c r="G30" s="4">
        <v>4</v>
      </c>
      <c r="H30" s="4">
        <v>14408</v>
      </c>
      <c r="I30" s="4">
        <v>5</v>
      </c>
      <c r="J30" s="4" t="s">
        <v>185</v>
      </c>
      <c r="K30" s="4">
        <v>54750.400000000001</v>
      </c>
      <c r="L30" s="4">
        <v>41650.36</v>
      </c>
      <c r="M30" s="4">
        <v>13100.04</v>
      </c>
      <c r="N30" s="4" t="str">
        <f t="shared" si="0"/>
        <v>Mar</v>
      </c>
      <c r="O30" s="4">
        <f t="shared" si="1"/>
        <v>3</v>
      </c>
      <c r="P30" s="6">
        <f t="shared" si="2"/>
        <v>0.23926838890674773</v>
      </c>
    </row>
    <row r="31" spans="1:16" x14ac:dyDescent="0.25">
      <c r="A31" s="4" t="s">
        <v>42</v>
      </c>
      <c r="B31" s="5">
        <v>46089.075949367078</v>
      </c>
      <c r="C31" s="4" t="s">
        <v>121</v>
      </c>
      <c r="D31" s="4" t="s">
        <v>171</v>
      </c>
      <c r="E31" s="4" t="s">
        <v>177</v>
      </c>
      <c r="F31" s="4" t="s">
        <v>180</v>
      </c>
      <c r="G31" s="4">
        <v>3</v>
      </c>
      <c r="H31" s="4">
        <v>14083</v>
      </c>
      <c r="I31" s="4">
        <v>15</v>
      </c>
      <c r="J31" s="4" t="s">
        <v>186</v>
      </c>
      <c r="K31" s="4">
        <v>35911.65</v>
      </c>
      <c r="L31" s="4">
        <v>25670.9</v>
      </c>
      <c r="M31" s="4">
        <v>10240.75</v>
      </c>
      <c r="N31" s="4" t="str">
        <f t="shared" si="0"/>
        <v>Mar</v>
      </c>
      <c r="O31" s="4">
        <f t="shared" si="1"/>
        <v>3</v>
      </c>
      <c r="P31" s="6">
        <f t="shared" si="2"/>
        <v>0.28516512051103193</v>
      </c>
    </row>
    <row r="32" spans="1:16" x14ac:dyDescent="0.25">
      <c r="A32" s="4" t="s">
        <v>43</v>
      </c>
      <c r="B32" s="5">
        <v>46091.354430379753</v>
      </c>
      <c r="C32" s="4" t="s">
        <v>122</v>
      </c>
      <c r="D32" s="4" t="s">
        <v>173</v>
      </c>
      <c r="E32" s="4" t="s">
        <v>178</v>
      </c>
      <c r="F32" s="4" t="s">
        <v>179</v>
      </c>
      <c r="G32" s="4">
        <v>4</v>
      </c>
      <c r="H32" s="4">
        <v>2480</v>
      </c>
      <c r="I32" s="4">
        <v>10</v>
      </c>
      <c r="J32" s="4" t="s">
        <v>183</v>
      </c>
      <c r="K32" s="4">
        <v>8928</v>
      </c>
      <c r="L32" s="4">
        <v>5710.05</v>
      </c>
      <c r="M32" s="4">
        <v>3217.95</v>
      </c>
      <c r="N32" s="4" t="str">
        <f t="shared" si="0"/>
        <v>Mar</v>
      </c>
      <c r="O32" s="4">
        <f t="shared" si="1"/>
        <v>3</v>
      </c>
      <c r="P32" s="6">
        <f t="shared" si="2"/>
        <v>0.36043346774193546</v>
      </c>
    </row>
    <row r="33" spans="1:16" x14ac:dyDescent="0.25">
      <c r="A33" s="4" t="s">
        <v>44</v>
      </c>
      <c r="B33" s="5">
        <v>46093.632911392393</v>
      </c>
      <c r="C33" s="4" t="s">
        <v>123</v>
      </c>
      <c r="D33" s="4" t="s">
        <v>171</v>
      </c>
      <c r="E33" s="4" t="s">
        <v>177</v>
      </c>
      <c r="F33" s="4" t="s">
        <v>181</v>
      </c>
      <c r="G33" s="4">
        <v>3</v>
      </c>
      <c r="H33" s="4">
        <v>14252</v>
      </c>
      <c r="I33" s="4">
        <v>0</v>
      </c>
      <c r="J33" s="4" t="s">
        <v>185</v>
      </c>
      <c r="K33" s="4">
        <v>38480.400000000001</v>
      </c>
      <c r="L33" s="4">
        <v>27641.360000000001</v>
      </c>
      <c r="M33" s="4">
        <v>10839.04</v>
      </c>
      <c r="N33" s="4" t="str">
        <f t="shared" si="0"/>
        <v>Mar</v>
      </c>
      <c r="O33" s="4">
        <f t="shared" si="1"/>
        <v>3</v>
      </c>
      <c r="P33" s="6">
        <f t="shared" si="2"/>
        <v>0.28167690564547149</v>
      </c>
    </row>
    <row r="34" spans="1:16" x14ac:dyDescent="0.25">
      <c r="A34" s="4" t="s">
        <v>45</v>
      </c>
      <c r="B34" s="5">
        <v>46095.911392405047</v>
      </c>
      <c r="C34" s="4" t="s">
        <v>124</v>
      </c>
      <c r="D34" s="4" t="s">
        <v>171</v>
      </c>
      <c r="E34" s="4" t="s">
        <v>177</v>
      </c>
      <c r="F34" s="4" t="s">
        <v>181</v>
      </c>
      <c r="G34" s="4">
        <v>2</v>
      </c>
      <c r="H34" s="4">
        <v>14458</v>
      </c>
      <c r="I34" s="4">
        <v>5</v>
      </c>
      <c r="J34" s="4" t="s">
        <v>184</v>
      </c>
      <c r="K34" s="4">
        <v>27470.2</v>
      </c>
      <c r="L34" s="4">
        <v>19632.8</v>
      </c>
      <c r="M34" s="4">
        <v>7837.4</v>
      </c>
      <c r="N34" s="4" t="str">
        <f t="shared" si="0"/>
        <v>Mar</v>
      </c>
      <c r="O34" s="4">
        <f t="shared" si="1"/>
        <v>3</v>
      </c>
      <c r="P34" s="6">
        <f t="shared" si="2"/>
        <v>0.28530553108459344</v>
      </c>
    </row>
    <row r="35" spans="1:16" x14ac:dyDescent="0.25">
      <c r="A35" s="4" t="s">
        <v>46</v>
      </c>
      <c r="B35" s="5">
        <v>46098.189873417723</v>
      </c>
      <c r="C35" s="4" t="s">
        <v>125</v>
      </c>
      <c r="D35" s="4" t="s">
        <v>175</v>
      </c>
      <c r="E35" s="4" t="s">
        <v>177</v>
      </c>
      <c r="F35" s="4" t="s">
        <v>182</v>
      </c>
      <c r="G35" s="4">
        <v>3</v>
      </c>
      <c r="H35" s="4">
        <v>55315</v>
      </c>
      <c r="I35" s="4">
        <v>10</v>
      </c>
      <c r="J35" s="4" t="s">
        <v>183</v>
      </c>
      <c r="K35" s="4">
        <v>149350.5</v>
      </c>
      <c r="L35" s="4">
        <v>97770.87</v>
      </c>
      <c r="M35" s="4">
        <v>51579.63</v>
      </c>
      <c r="N35" s="4" t="str">
        <f t="shared" si="0"/>
        <v>Mar</v>
      </c>
      <c r="O35" s="4">
        <f t="shared" si="1"/>
        <v>3</v>
      </c>
      <c r="P35" s="6">
        <f t="shared" si="2"/>
        <v>0.34535960709873753</v>
      </c>
    </row>
    <row r="36" spans="1:16" x14ac:dyDescent="0.25">
      <c r="A36" s="4" t="s">
        <v>47</v>
      </c>
      <c r="B36" s="5">
        <v>46100.46835443037</v>
      </c>
      <c r="C36" s="4" t="s">
        <v>126</v>
      </c>
      <c r="D36" s="4" t="s">
        <v>173</v>
      </c>
      <c r="E36" s="4" t="s">
        <v>178</v>
      </c>
      <c r="F36" s="4" t="s">
        <v>179</v>
      </c>
      <c r="G36" s="4">
        <v>3</v>
      </c>
      <c r="H36" s="4">
        <v>2546</v>
      </c>
      <c r="I36" s="4">
        <v>0</v>
      </c>
      <c r="J36" s="4" t="s">
        <v>186</v>
      </c>
      <c r="K36" s="4">
        <v>7638</v>
      </c>
      <c r="L36" s="4">
        <v>5398.31</v>
      </c>
      <c r="M36" s="4">
        <v>2239.69</v>
      </c>
      <c r="N36" s="4" t="str">
        <f t="shared" si="0"/>
        <v>Mar</v>
      </c>
      <c r="O36" s="4">
        <f t="shared" si="1"/>
        <v>3</v>
      </c>
      <c r="P36" s="6">
        <f t="shared" si="2"/>
        <v>0.29322990311599895</v>
      </c>
    </row>
    <row r="37" spans="1:16" x14ac:dyDescent="0.25">
      <c r="A37" s="4" t="s">
        <v>48</v>
      </c>
      <c r="B37" s="5">
        <v>46102.746835443031</v>
      </c>
      <c r="C37" s="4" t="s">
        <v>127</v>
      </c>
      <c r="D37" s="4" t="s">
        <v>172</v>
      </c>
      <c r="E37" s="4" t="s">
        <v>178</v>
      </c>
      <c r="F37" s="4" t="s">
        <v>181</v>
      </c>
      <c r="G37" s="4">
        <v>4</v>
      </c>
      <c r="H37" s="4">
        <v>2991</v>
      </c>
      <c r="I37" s="4">
        <v>5</v>
      </c>
      <c r="J37" s="4" t="s">
        <v>184</v>
      </c>
      <c r="K37" s="4">
        <v>11365.8</v>
      </c>
      <c r="L37" s="4">
        <v>7952.66</v>
      </c>
      <c r="M37" s="4">
        <v>3413.14</v>
      </c>
      <c r="N37" s="4" t="str">
        <f t="shared" si="0"/>
        <v>Mar</v>
      </c>
      <c r="O37" s="4">
        <f t="shared" si="1"/>
        <v>3</v>
      </c>
      <c r="P37" s="6">
        <f t="shared" si="2"/>
        <v>0.30029914304316457</v>
      </c>
    </row>
    <row r="38" spans="1:16" x14ac:dyDescent="0.25">
      <c r="A38" s="4" t="s">
        <v>49</v>
      </c>
      <c r="B38" s="5">
        <v>46105.025316455693</v>
      </c>
      <c r="C38" s="4" t="s">
        <v>128</v>
      </c>
      <c r="D38" s="4" t="s">
        <v>173</v>
      </c>
      <c r="E38" s="4" t="s">
        <v>178</v>
      </c>
      <c r="F38" s="4" t="s">
        <v>180</v>
      </c>
      <c r="G38" s="4">
        <v>4</v>
      </c>
      <c r="H38" s="4">
        <v>2048</v>
      </c>
      <c r="I38" s="4">
        <v>10</v>
      </c>
      <c r="J38" s="4" t="s">
        <v>184</v>
      </c>
      <c r="K38" s="4">
        <v>7372.8</v>
      </c>
      <c r="L38" s="4">
        <v>5479.24</v>
      </c>
      <c r="M38" s="4">
        <v>1893.56</v>
      </c>
      <c r="N38" s="4" t="str">
        <f t="shared" si="0"/>
        <v>Mar</v>
      </c>
      <c r="O38" s="4">
        <f t="shared" si="1"/>
        <v>3</v>
      </c>
      <c r="P38" s="6">
        <f t="shared" si="2"/>
        <v>0.25683051215277775</v>
      </c>
    </row>
    <row r="39" spans="1:16" x14ac:dyDescent="0.25">
      <c r="A39" s="4" t="s">
        <v>50</v>
      </c>
      <c r="B39" s="5">
        <v>46107.303797468347</v>
      </c>
      <c r="C39" s="4" t="s">
        <v>129</v>
      </c>
      <c r="D39" s="4" t="s">
        <v>172</v>
      </c>
      <c r="E39" s="4" t="s">
        <v>178</v>
      </c>
      <c r="F39" s="4" t="s">
        <v>180</v>
      </c>
      <c r="G39" s="4">
        <v>1</v>
      </c>
      <c r="H39" s="4">
        <v>3311</v>
      </c>
      <c r="I39" s="4">
        <v>5</v>
      </c>
      <c r="J39" s="4" t="s">
        <v>184</v>
      </c>
      <c r="K39" s="4">
        <v>3145.45</v>
      </c>
      <c r="L39" s="4">
        <v>2349.71</v>
      </c>
      <c r="M39" s="4">
        <v>795.74</v>
      </c>
      <c r="N39" s="4" t="str">
        <f t="shared" si="0"/>
        <v>Mar</v>
      </c>
      <c r="O39" s="4">
        <f t="shared" si="1"/>
        <v>3</v>
      </c>
      <c r="P39" s="6">
        <f t="shared" si="2"/>
        <v>0.2529812904353908</v>
      </c>
    </row>
    <row r="40" spans="1:16" x14ac:dyDescent="0.25">
      <c r="A40" s="4" t="s">
        <v>51</v>
      </c>
      <c r="B40" s="5">
        <v>46109.582278481008</v>
      </c>
      <c r="C40" s="4" t="s">
        <v>130</v>
      </c>
      <c r="D40" s="4" t="s">
        <v>175</v>
      </c>
      <c r="E40" s="4" t="s">
        <v>177</v>
      </c>
      <c r="F40" s="4" t="s">
        <v>182</v>
      </c>
      <c r="G40" s="4">
        <v>1</v>
      </c>
      <c r="H40" s="4">
        <v>54816</v>
      </c>
      <c r="I40" s="4">
        <v>0</v>
      </c>
      <c r="J40" s="4" t="s">
        <v>183</v>
      </c>
      <c r="K40" s="4">
        <v>54816</v>
      </c>
      <c r="L40" s="4">
        <v>34482.6</v>
      </c>
      <c r="M40" s="4">
        <v>20333.400000000001</v>
      </c>
      <c r="N40" s="4" t="str">
        <f t="shared" si="0"/>
        <v>Mar</v>
      </c>
      <c r="O40" s="4">
        <f t="shared" si="1"/>
        <v>3</v>
      </c>
      <c r="P40" s="6">
        <f t="shared" si="2"/>
        <v>0.37093914185639232</v>
      </c>
    </row>
    <row r="41" spans="1:16" x14ac:dyDescent="0.25">
      <c r="A41" s="4" t="s">
        <v>52</v>
      </c>
      <c r="B41" s="5">
        <v>46111.860759493669</v>
      </c>
      <c r="C41" s="4" t="s">
        <v>131</v>
      </c>
      <c r="D41" s="4" t="s">
        <v>174</v>
      </c>
      <c r="E41" s="4" t="s">
        <v>178</v>
      </c>
      <c r="F41" s="4" t="s">
        <v>181</v>
      </c>
      <c r="G41" s="4">
        <v>2</v>
      </c>
      <c r="H41" s="4">
        <v>1171</v>
      </c>
      <c r="I41" s="4">
        <v>5</v>
      </c>
      <c r="J41" s="4" t="s">
        <v>186</v>
      </c>
      <c r="K41" s="4">
        <v>2224.9</v>
      </c>
      <c r="L41" s="4">
        <v>1546.13</v>
      </c>
      <c r="M41" s="4">
        <v>678.77</v>
      </c>
      <c r="N41" s="4" t="str">
        <f t="shared" si="0"/>
        <v>Mar</v>
      </c>
      <c r="O41" s="4">
        <f t="shared" si="1"/>
        <v>3</v>
      </c>
      <c r="P41" s="6">
        <f t="shared" si="2"/>
        <v>0.30507887994966065</v>
      </c>
    </row>
    <row r="42" spans="1:16" x14ac:dyDescent="0.25">
      <c r="A42" s="4" t="s">
        <v>53</v>
      </c>
      <c r="B42" s="5">
        <v>46114.139240506323</v>
      </c>
      <c r="C42" s="4" t="s">
        <v>132</v>
      </c>
      <c r="D42" s="4" t="s">
        <v>171</v>
      </c>
      <c r="E42" s="4" t="s">
        <v>177</v>
      </c>
      <c r="F42" s="4" t="s">
        <v>179</v>
      </c>
      <c r="G42" s="4">
        <v>1</v>
      </c>
      <c r="H42" s="4">
        <v>14019</v>
      </c>
      <c r="I42" s="4">
        <v>5</v>
      </c>
      <c r="J42" s="4" t="s">
        <v>184</v>
      </c>
      <c r="K42" s="4">
        <v>13318.05</v>
      </c>
      <c r="L42" s="4">
        <v>9924.24</v>
      </c>
      <c r="M42" s="4">
        <v>3393.81</v>
      </c>
      <c r="N42" s="4" t="str">
        <f t="shared" si="0"/>
        <v>Apr</v>
      </c>
      <c r="O42" s="4">
        <f t="shared" si="1"/>
        <v>4</v>
      </c>
      <c r="P42" s="6">
        <f t="shared" si="2"/>
        <v>0.25482784641895773</v>
      </c>
    </row>
    <row r="43" spans="1:16" x14ac:dyDescent="0.25">
      <c r="A43" s="4" t="s">
        <v>54</v>
      </c>
      <c r="B43" s="5">
        <v>46116.417721518977</v>
      </c>
      <c r="C43" s="4" t="s">
        <v>133</v>
      </c>
      <c r="D43" s="4" t="s">
        <v>175</v>
      </c>
      <c r="E43" s="4" t="s">
        <v>177</v>
      </c>
      <c r="F43" s="4" t="s">
        <v>180</v>
      </c>
      <c r="G43" s="4">
        <v>3</v>
      </c>
      <c r="H43" s="4">
        <v>54957</v>
      </c>
      <c r="I43" s="4">
        <v>5</v>
      </c>
      <c r="J43" s="4" t="s">
        <v>185</v>
      </c>
      <c r="K43" s="4">
        <v>156627.45000000001</v>
      </c>
      <c r="L43" s="4">
        <v>112870.01</v>
      </c>
      <c r="M43" s="4">
        <v>43757.440000000002</v>
      </c>
      <c r="N43" s="4" t="str">
        <f t="shared" si="0"/>
        <v>Apr</v>
      </c>
      <c r="O43" s="4">
        <f t="shared" si="1"/>
        <v>4</v>
      </c>
      <c r="P43" s="6">
        <f t="shared" si="2"/>
        <v>0.27937274085736569</v>
      </c>
    </row>
    <row r="44" spans="1:16" x14ac:dyDescent="0.25">
      <c r="A44" s="4" t="s">
        <v>55</v>
      </c>
      <c r="B44" s="5">
        <v>46118.696202531653</v>
      </c>
      <c r="C44" s="4" t="s">
        <v>134</v>
      </c>
      <c r="D44" s="4" t="s">
        <v>171</v>
      </c>
      <c r="E44" s="4" t="s">
        <v>177</v>
      </c>
      <c r="F44" s="4" t="s">
        <v>181</v>
      </c>
      <c r="G44" s="4">
        <v>4</v>
      </c>
      <c r="H44" s="4">
        <v>14276</v>
      </c>
      <c r="I44" s="4">
        <v>5</v>
      </c>
      <c r="J44" s="4" t="s">
        <v>184</v>
      </c>
      <c r="K44" s="4">
        <v>54248.800000000003</v>
      </c>
      <c r="L44" s="4">
        <v>42926.97</v>
      </c>
      <c r="M44" s="4">
        <v>11321.83</v>
      </c>
      <c r="N44" s="4" t="str">
        <f t="shared" si="0"/>
        <v>Apr</v>
      </c>
      <c r="O44" s="4">
        <f t="shared" si="1"/>
        <v>4</v>
      </c>
      <c r="P44" s="6">
        <f t="shared" si="2"/>
        <v>0.20870194363746294</v>
      </c>
    </row>
    <row r="45" spans="1:16" x14ac:dyDescent="0.25">
      <c r="A45" s="4" t="s">
        <v>56</v>
      </c>
      <c r="B45" s="5">
        <v>46120.974683544293</v>
      </c>
      <c r="C45" s="4" t="s">
        <v>135</v>
      </c>
      <c r="D45" s="4" t="s">
        <v>174</v>
      </c>
      <c r="E45" s="4" t="s">
        <v>178</v>
      </c>
      <c r="F45" s="4" t="s">
        <v>181</v>
      </c>
      <c r="G45" s="4">
        <v>1</v>
      </c>
      <c r="H45" s="4">
        <v>1045</v>
      </c>
      <c r="I45" s="4">
        <v>0</v>
      </c>
      <c r="J45" s="4" t="s">
        <v>184</v>
      </c>
      <c r="K45" s="4">
        <v>1045</v>
      </c>
      <c r="L45" s="4">
        <v>785.57</v>
      </c>
      <c r="M45" s="4">
        <v>259.43</v>
      </c>
      <c r="N45" s="4" t="str">
        <f t="shared" si="0"/>
        <v>Apr</v>
      </c>
      <c r="O45" s="4">
        <f t="shared" si="1"/>
        <v>4</v>
      </c>
      <c r="P45" s="6">
        <f t="shared" si="2"/>
        <v>0.24825837320574162</v>
      </c>
    </row>
    <row r="46" spans="1:16" x14ac:dyDescent="0.25">
      <c r="A46" s="4" t="s">
        <v>57</v>
      </c>
      <c r="B46" s="5">
        <v>46123.253164556947</v>
      </c>
      <c r="C46" s="4" t="s">
        <v>136</v>
      </c>
      <c r="D46" s="4" t="s">
        <v>174</v>
      </c>
      <c r="E46" s="4" t="s">
        <v>178</v>
      </c>
      <c r="F46" s="4" t="s">
        <v>193</v>
      </c>
      <c r="G46" s="4">
        <v>1</v>
      </c>
      <c r="H46" s="4">
        <v>1372</v>
      </c>
      <c r="I46" s="4">
        <v>15</v>
      </c>
      <c r="J46" s="4" t="s">
        <v>183</v>
      </c>
      <c r="K46" s="4">
        <v>1166.2</v>
      </c>
      <c r="L46" s="4">
        <v>761.05</v>
      </c>
      <c r="M46" s="4">
        <v>405.15</v>
      </c>
      <c r="N46" s="4" t="str">
        <f t="shared" si="0"/>
        <v>Apr</v>
      </c>
      <c r="O46" s="4">
        <f t="shared" si="1"/>
        <v>4</v>
      </c>
      <c r="P46" s="6">
        <f t="shared" si="2"/>
        <v>0.34741039272851992</v>
      </c>
    </row>
    <row r="47" spans="1:16" x14ac:dyDescent="0.25">
      <c r="A47" s="4" t="s">
        <v>58</v>
      </c>
      <c r="B47" s="5">
        <v>46125.531645569623</v>
      </c>
      <c r="C47" s="4" t="s">
        <v>137</v>
      </c>
      <c r="D47" s="4" t="s">
        <v>175</v>
      </c>
      <c r="E47" s="4" t="s">
        <v>177</v>
      </c>
      <c r="F47" s="4" t="s">
        <v>180</v>
      </c>
      <c r="G47" s="4">
        <v>2</v>
      </c>
      <c r="H47" s="4">
        <v>55317</v>
      </c>
      <c r="I47" s="4">
        <v>5</v>
      </c>
      <c r="J47" s="4" t="s">
        <v>183</v>
      </c>
      <c r="K47" s="4">
        <v>105102.3</v>
      </c>
      <c r="L47" s="4">
        <v>66646.81</v>
      </c>
      <c r="M47" s="4">
        <v>38455.49</v>
      </c>
      <c r="N47" s="4" t="str">
        <f t="shared" si="0"/>
        <v>Apr</v>
      </c>
      <c r="O47" s="4">
        <f t="shared" si="1"/>
        <v>4</v>
      </c>
      <c r="P47" s="6">
        <f t="shared" si="2"/>
        <v>0.36588628412508573</v>
      </c>
    </row>
    <row r="48" spans="1:16" x14ac:dyDescent="0.25">
      <c r="A48" s="4" t="s">
        <v>59</v>
      </c>
      <c r="B48" s="5">
        <v>46127.81012658227</v>
      </c>
      <c r="C48" s="4" t="s">
        <v>138</v>
      </c>
      <c r="D48" s="4" t="s">
        <v>174</v>
      </c>
      <c r="E48" s="4" t="s">
        <v>178</v>
      </c>
      <c r="F48" s="4" t="s">
        <v>180</v>
      </c>
      <c r="G48" s="4">
        <v>2</v>
      </c>
      <c r="H48" s="4">
        <v>1098</v>
      </c>
      <c r="I48" s="4">
        <v>5</v>
      </c>
      <c r="J48" s="4" t="s">
        <v>186</v>
      </c>
      <c r="K48" s="4">
        <v>2086.1999999999998</v>
      </c>
      <c r="L48" s="4">
        <v>1561.49</v>
      </c>
      <c r="M48" s="4">
        <v>524.71</v>
      </c>
      <c r="N48" s="4" t="str">
        <f t="shared" si="0"/>
        <v>Apr</v>
      </c>
      <c r="O48" s="4">
        <f t="shared" si="1"/>
        <v>4</v>
      </c>
      <c r="P48" s="6">
        <f t="shared" si="2"/>
        <v>0.25151471575112649</v>
      </c>
    </row>
    <row r="49" spans="1:16" x14ac:dyDescent="0.25">
      <c r="A49" s="4" t="s">
        <v>60</v>
      </c>
      <c r="B49" s="5">
        <v>46130.088607594931</v>
      </c>
      <c r="C49" s="4" t="s">
        <v>139</v>
      </c>
      <c r="D49" s="4" t="s">
        <v>172</v>
      </c>
      <c r="E49" s="4" t="s">
        <v>178</v>
      </c>
      <c r="F49" s="4" t="s">
        <v>179</v>
      </c>
      <c r="G49" s="4">
        <v>3</v>
      </c>
      <c r="H49" s="4">
        <v>2836</v>
      </c>
      <c r="I49" s="4">
        <v>10</v>
      </c>
      <c r="J49" s="4" t="s">
        <v>185</v>
      </c>
      <c r="K49" s="4">
        <v>7657.2</v>
      </c>
      <c r="L49" s="4">
        <v>4788.0600000000004</v>
      </c>
      <c r="M49" s="4">
        <v>2869.14</v>
      </c>
      <c r="N49" s="4" t="str">
        <f t="shared" si="0"/>
        <v>Apr</v>
      </c>
      <c r="O49" s="4">
        <f t="shared" si="1"/>
        <v>4</v>
      </c>
      <c r="P49" s="6">
        <f t="shared" si="2"/>
        <v>0.3746983231468422</v>
      </c>
    </row>
    <row r="50" spans="1:16" x14ac:dyDescent="0.25">
      <c r="A50" s="4" t="s">
        <v>61</v>
      </c>
      <c r="B50" s="5">
        <v>46132.367088607592</v>
      </c>
      <c r="C50" s="4" t="s">
        <v>140</v>
      </c>
      <c r="D50" s="4" t="s">
        <v>174</v>
      </c>
      <c r="E50" s="4" t="s">
        <v>178</v>
      </c>
      <c r="F50" s="4" t="s">
        <v>180</v>
      </c>
      <c r="G50" s="4">
        <v>4</v>
      </c>
      <c r="H50" s="4">
        <v>1279</v>
      </c>
      <c r="I50" s="4">
        <v>5</v>
      </c>
      <c r="J50" s="4" t="s">
        <v>183</v>
      </c>
      <c r="K50" s="4">
        <v>4860.2</v>
      </c>
      <c r="L50" s="4">
        <v>3582.72</v>
      </c>
      <c r="M50" s="4">
        <v>1277.48</v>
      </c>
      <c r="N50" s="4" t="str">
        <f t="shared" si="0"/>
        <v>Apr</v>
      </c>
      <c r="O50" s="4">
        <f t="shared" si="1"/>
        <v>4</v>
      </c>
      <c r="P50" s="6">
        <f t="shared" si="2"/>
        <v>0.26284515040533313</v>
      </c>
    </row>
    <row r="51" spans="1:16" x14ac:dyDescent="0.25">
      <c r="A51" s="4" t="s">
        <v>62</v>
      </c>
      <c r="B51" s="5">
        <v>46134.645569620247</v>
      </c>
      <c r="C51" s="4" t="s">
        <v>141</v>
      </c>
      <c r="D51" s="4" t="s">
        <v>171</v>
      </c>
      <c r="E51" s="4" t="s">
        <v>177</v>
      </c>
      <c r="F51" s="4" t="s">
        <v>179</v>
      </c>
      <c r="G51" s="4">
        <v>2</v>
      </c>
      <c r="H51" s="4">
        <v>14148</v>
      </c>
      <c r="I51" s="4">
        <v>10</v>
      </c>
      <c r="J51" s="4" t="s">
        <v>184</v>
      </c>
      <c r="K51" s="4">
        <v>25466.400000000001</v>
      </c>
      <c r="L51" s="4">
        <v>20578.02</v>
      </c>
      <c r="M51" s="4">
        <v>4888.38</v>
      </c>
      <c r="N51" s="4" t="str">
        <f t="shared" si="0"/>
        <v>Apr</v>
      </c>
      <c r="O51" s="4">
        <f t="shared" si="1"/>
        <v>4</v>
      </c>
      <c r="P51" s="6">
        <f t="shared" si="2"/>
        <v>0.19195410423145792</v>
      </c>
    </row>
    <row r="52" spans="1:16" x14ac:dyDescent="0.25">
      <c r="A52" s="4" t="s">
        <v>63</v>
      </c>
      <c r="B52" s="5">
        <v>46136.924050632908</v>
      </c>
      <c r="C52" s="4" t="s">
        <v>142</v>
      </c>
      <c r="D52" s="4" t="s">
        <v>171</v>
      </c>
      <c r="E52" s="4" t="s">
        <v>177</v>
      </c>
      <c r="F52" s="4" t="s">
        <v>180</v>
      </c>
      <c r="G52" s="4">
        <v>1</v>
      </c>
      <c r="H52" s="4">
        <v>14296</v>
      </c>
      <c r="I52" s="4">
        <v>15</v>
      </c>
      <c r="J52" s="4" t="s">
        <v>186</v>
      </c>
      <c r="K52" s="4">
        <v>12151.6</v>
      </c>
      <c r="L52" s="4">
        <v>8932.58</v>
      </c>
      <c r="M52" s="4">
        <v>3219.02</v>
      </c>
      <c r="N52" s="4" t="str">
        <f t="shared" si="0"/>
        <v>Apr</v>
      </c>
      <c r="O52" s="4">
        <f t="shared" si="1"/>
        <v>4</v>
      </c>
      <c r="P52" s="6">
        <f t="shared" si="2"/>
        <v>0.26490503308206326</v>
      </c>
    </row>
    <row r="53" spans="1:16" x14ac:dyDescent="0.25">
      <c r="A53" s="4" t="s">
        <v>64</v>
      </c>
      <c r="B53" s="5">
        <v>46139.202531645569</v>
      </c>
      <c r="C53" s="4" t="s">
        <v>143</v>
      </c>
      <c r="D53" s="4" t="s">
        <v>171</v>
      </c>
      <c r="E53" s="4" t="s">
        <v>177</v>
      </c>
      <c r="F53" s="4" t="s">
        <v>182</v>
      </c>
      <c r="G53" s="4">
        <v>4</v>
      </c>
      <c r="H53" s="4">
        <v>14101</v>
      </c>
      <c r="I53" s="4">
        <v>0</v>
      </c>
      <c r="J53" s="4" t="s">
        <v>184</v>
      </c>
      <c r="K53" s="4">
        <v>56404</v>
      </c>
      <c r="L53" s="4">
        <v>39349.35</v>
      </c>
      <c r="M53" s="4">
        <v>17054.650000000001</v>
      </c>
      <c r="N53" s="4" t="str">
        <f t="shared" si="0"/>
        <v>Apr</v>
      </c>
      <c r="O53" s="4">
        <f t="shared" si="1"/>
        <v>4</v>
      </c>
      <c r="P53" s="6">
        <f t="shared" si="2"/>
        <v>0.30236596695269841</v>
      </c>
    </row>
    <row r="54" spans="1:16" x14ac:dyDescent="0.25">
      <c r="A54" s="4" t="s">
        <v>65</v>
      </c>
      <c r="B54" s="5">
        <v>46141.481012658223</v>
      </c>
      <c r="C54" s="4" t="s">
        <v>144</v>
      </c>
      <c r="D54" s="4" t="s">
        <v>171</v>
      </c>
      <c r="E54" s="4" t="s">
        <v>177</v>
      </c>
      <c r="F54" s="4" t="s">
        <v>180</v>
      </c>
      <c r="G54" s="4">
        <v>4</v>
      </c>
      <c r="H54" s="4">
        <v>13980</v>
      </c>
      <c r="I54" s="4">
        <v>0</v>
      </c>
      <c r="J54" s="4" t="s">
        <v>184</v>
      </c>
      <c r="K54" s="4">
        <v>55920</v>
      </c>
      <c r="L54" s="4">
        <v>41864.94</v>
      </c>
      <c r="M54" s="4">
        <v>14055.06</v>
      </c>
      <c r="N54" s="4" t="str">
        <f t="shared" si="0"/>
        <v>Apr</v>
      </c>
      <c r="O54" s="4">
        <f t="shared" si="1"/>
        <v>4</v>
      </c>
      <c r="P54" s="6">
        <f t="shared" si="2"/>
        <v>0.2513422746781116</v>
      </c>
    </row>
    <row r="55" spans="1:16" x14ac:dyDescent="0.25">
      <c r="A55" s="4" t="s">
        <v>66</v>
      </c>
      <c r="B55" s="5">
        <v>46143.759493670877</v>
      </c>
      <c r="C55" s="4" t="s">
        <v>145</v>
      </c>
      <c r="D55" s="4" t="s">
        <v>172</v>
      </c>
      <c r="E55" s="4" t="s">
        <v>178</v>
      </c>
      <c r="F55" s="4" t="s">
        <v>179</v>
      </c>
      <c r="G55" s="4">
        <v>1</v>
      </c>
      <c r="H55" s="4">
        <v>3406</v>
      </c>
      <c r="I55" s="4">
        <v>15</v>
      </c>
      <c r="J55" s="4" t="s">
        <v>183</v>
      </c>
      <c r="K55" s="4">
        <v>2895.1</v>
      </c>
      <c r="L55" s="4">
        <v>2060.3000000000002</v>
      </c>
      <c r="M55" s="4">
        <v>834.8</v>
      </c>
      <c r="N55" s="4" t="str">
        <f t="shared" si="0"/>
        <v>May</v>
      </c>
      <c r="O55" s="4">
        <f t="shared" si="1"/>
        <v>5</v>
      </c>
      <c r="P55" s="6">
        <f t="shared" si="2"/>
        <v>0.28834927981762287</v>
      </c>
    </row>
    <row r="56" spans="1:16" x14ac:dyDescent="0.25">
      <c r="A56" s="4" t="s">
        <v>67</v>
      </c>
      <c r="B56" s="5">
        <v>46146.037974683539</v>
      </c>
      <c r="C56" s="4" t="s">
        <v>146</v>
      </c>
      <c r="D56" s="4" t="s">
        <v>173</v>
      </c>
      <c r="E56" s="4" t="s">
        <v>178</v>
      </c>
      <c r="F56" s="4" t="s">
        <v>179</v>
      </c>
      <c r="G56" s="4">
        <v>2</v>
      </c>
      <c r="H56" s="4">
        <v>2098</v>
      </c>
      <c r="I56" s="4">
        <v>0</v>
      </c>
      <c r="J56" s="4" t="s">
        <v>186</v>
      </c>
      <c r="K56" s="4">
        <v>4196</v>
      </c>
      <c r="L56" s="4">
        <v>3059.4</v>
      </c>
      <c r="M56" s="4">
        <v>1136.5999999999999</v>
      </c>
      <c r="N56" s="4" t="str">
        <f t="shared" si="0"/>
        <v>May</v>
      </c>
      <c r="O56" s="4">
        <f t="shared" si="1"/>
        <v>5</v>
      </c>
      <c r="P56" s="6">
        <f t="shared" si="2"/>
        <v>0.27087702573879885</v>
      </c>
    </row>
    <row r="57" spans="1:16" x14ac:dyDescent="0.25">
      <c r="A57" s="4" t="s">
        <v>68</v>
      </c>
      <c r="B57" s="5">
        <v>46148.316455696193</v>
      </c>
      <c r="C57" s="4" t="s">
        <v>147</v>
      </c>
      <c r="D57" s="4" t="s">
        <v>175</v>
      </c>
      <c r="E57" s="4" t="s">
        <v>177</v>
      </c>
      <c r="F57" s="4" t="s">
        <v>182</v>
      </c>
      <c r="G57" s="4">
        <v>1</v>
      </c>
      <c r="H57" s="4">
        <v>55499</v>
      </c>
      <c r="I57" s="4">
        <v>15</v>
      </c>
      <c r="J57" s="4" t="s">
        <v>187</v>
      </c>
      <c r="K57" s="4">
        <v>47174.15</v>
      </c>
      <c r="L57" s="4">
        <v>38130.53</v>
      </c>
      <c r="M57" s="4">
        <v>9043.6200000000008</v>
      </c>
      <c r="N57" s="4" t="str">
        <f t="shared" si="0"/>
        <v>May</v>
      </c>
      <c r="O57" s="4">
        <f t="shared" si="1"/>
        <v>5</v>
      </c>
      <c r="P57" s="6">
        <f t="shared" si="2"/>
        <v>0.19170711077995048</v>
      </c>
    </row>
    <row r="58" spans="1:16" x14ac:dyDescent="0.25">
      <c r="A58" s="4" t="s">
        <v>69</v>
      </c>
      <c r="B58" s="5">
        <v>46150.594936708847</v>
      </c>
      <c r="C58" s="4" t="s">
        <v>148</v>
      </c>
      <c r="D58" s="4" t="s">
        <v>171</v>
      </c>
      <c r="E58" s="4" t="s">
        <v>177</v>
      </c>
      <c r="F58" s="4" t="s">
        <v>180</v>
      </c>
      <c r="G58" s="4">
        <v>4</v>
      </c>
      <c r="H58" s="4">
        <v>13915</v>
      </c>
      <c r="I58" s="4">
        <v>15</v>
      </c>
      <c r="J58" s="4" t="s">
        <v>185</v>
      </c>
      <c r="K58" s="4">
        <v>47311</v>
      </c>
      <c r="L58" s="4">
        <v>32986.199999999997</v>
      </c>
      <c r="M58" s="4">
        <v>14324.8</v>
      </c>
      <c r="N58" s="4" t="str">
        <f t="shared" si="0"/>
        <v>May</v>
      </c>
      <c r="O58" s="4">
        <f t="shared" si="1"/>
        <v>5</v>
      </c>
      <c r="P58" s="6">
        <f t="shared" si="2"/>
        <v>0.30277948045908981</v>
      </c>
    </row>
    <row r="59" spans="1:16" x14ac:dyDescent="0.25">
      <c r="A59" s="4" t="s">
        <v>70</v>
      </c>
      <c r="B59" s="5">
        <v>46152.873417721523</v>
      </c>
      <c r="C59" s="4" t="s">
        <v>149</v>
      </c>
      <c r="D59" s="4" t="s">
        <v>174</v>
      </c>
      <c r="E59" s="4" t="s">
        <v>178</v>
      </c>
      <c r="F59" s="4" t="s">
        <v>180</v>
      </c>
      <c r="G59" s="4">
        <v>5</v>
      </c>
      <c r="H59" s="4">
        <v>1190</v>
      </c>
      <c r="I59" s="4">
        <v>15</v>
      </c>
      <c r="J59" s="4" t="s">
        <v>183</v>
      </c>
      <c r="K59" s="4">
        <v>5057.5</v>
      </c>
      <c r="L59" s="4">
        <v>4107.8900000000003</v>
      </c>
      <c r="M59" s="4">
        <v>949.61</v>
      </c>
      <c r="N59" s="4" t="str">
        <f t="shared" si="0"/>
        <v>May</v>
      </c>
      <c r="O59" s="4">
        <f t="shared" si="1"/>
        <v>5</v>
      </c>
      <c r="P59" s="6">
        <f t="shared" si="2"/>
        <v>0.1877627286208601</v>
      </c>
    </row>
    <row r="60" spans="1:16" x14ac:dyDescent="0.25">
      <c r="A60" s="4" t="s">
        <v>71</v>
      </c>
      <c r="B60" s="5">
        <v>46155.15189873417</v>
      </c>
      <c r="C60" s="4" t="s">
        <v>150</v>
      </c>
      <c r="D60" s="4" t="s">
        <v>171</v>
      </c>
      <c r="E60" s="4" t="s">
        <v>177</v>
      </c>
      <c r="F60" s="4" t="s">
        <v>182</v>
      </c>
      <c r="G60" s="4">
        <v>5</v>
      </c>
      <c r="H60" s="4">
        <v>14052</v>
      </c>
      <c r="I60" s="4">
        <v>0</v>
      </c>
      <c r="J60" s="4" t="s">
        <v>183</v>
      </c>
      <c r="K60" s="4">
        <v>70260</v>
      </c>
      <c r="L60" s="4">
        <v>56283.19</v>
      </c>
      <c r="M60" s="4">
        <v>13976.81</v>
      </c>
      <c r="N60" s="4" t="str">
        <f t="shared" si="0"/>
        <v>May</v>
      </c>
      <c r="O60" s="4">
        <f t="shared" si="1"/>
        <v>5</v>
      </c>
      <c r="P60" s="6">
        <f t="shared" si="2"/>
        <v>0.19892983205237688</v>
      </c>
    </row>
    <row r="61" spans="1:16" x14ac:dyDescent="0.25">
      <c r="A61" s="4" t="s">
        <v>72</v>
      </c>
      <c r="B61" s="5">
        <v>46157.430379746831</v>
      </c>
      <c r="C61" s="4" t="s">
        <v>151</v>
      </c>
      <c r="D61" s="4" t="s">
        <v>174</v>
      </c>
      <c r="E61" s="4" t="s">
        <v>178</v>
      </c>
      <c r="F61" s="4" t="s">
        <v>180</v>
      </c>
      <c r="G61" s="4">
        <v>3</v>
      </c>
      <c r="H61" s="4">
        <v>1160</v>
      </c>
      <c r="I61" s="4">
        <v>10</v>
      </c>
      <c r="J61" s="4" t="s">
        <v>186</v>
      </c>
      <c r="K61" s="4">
        <v>3132</v>
      </c>
      <c r="L61" s="4">
        <v>2064.48</v>
      </c>
      <c r="M61" s="4">
        <v>1067.52</v>
      </c>
      <c r="N61" s="4" t="str">
        <f t="shared" si="0"/>
        <v>May</v>
      </c>
      <c r="O61" s="4">
        <f t="shared" si="1"/>
        <v>5</v>
      </c>
      <c r="P61" s="6">
        <f t="shared" si="2"/>
        <v>0.34084291187739463</v>
      </c>
    </row>
    <row r="62" spans="1:16" x14ac:dyDescent="0.25">
      <c r="A62" s="4" t="s">
        <v>73</v>
      </c>
      <c r="B62" s="5">
        <v>46159.708860759492</v>
      </c>
      <c r="C62" s="4" t="s">
        <v>152</v>
      </c>
      <c r="D62" s="4" t="s">
        <v>174</v>
      </c>
      <c r="E62" s="4" t="s">
        <v>178</v>
      </c>
      <c r="F62" s="4" t="s">
        <v>180</v>
      </c>
      <c r="G62" s="4">
        <v>1</v>
      </c>
      <c r="H62" s="4">
        <v>1255</v>
      </c>
      <c r="I62" s="4">
        <v>15</v>
      </c>
      <c r="J62" s="4" t="s">
        <v>185</v>
      </c>
      <c r="K62" s="4">
        <v>1066.75</v>
      </c>
      <c r="L62" s="4">
        <v>676.18</v>
      </c>
      <c r="M62" s="4">
        <v>390.57</v>
      </c>
      <c r="N62" s="4" t="str">
        <f t="shared" si="0"/>
        <v>May</v>
      </c>
      <c r="O62" s="4">
        <f t="shared" si="1"/>
        <v>5</v>
      </c>
      <c r="P62" s="6">
        <f t="shared" si="2"/>
        <v>0.36613077103351299</v>
      </c>
    </row>
    <row r="63" spans="1:16" x14ac:dyDescent="0.25">
      <c r="A63" s="4" t="s">
        <v>74</v>
      </c>
      <c r="B63" s="5">
        <v>46161.987341772139</v>
      </c>
      <c r="C63" s="4" t="s">
        <v>153</v>
      </c>
      <c r="D63" s="4" t="s">
        <v>171</v>
      </c>
      <c r="E63" s="4" t="s">
        <v>177</v>
      </c>
      <c r="F63" s="4" t="s">
        <v>179</v>
      </c>
      <c r="G63" s="4">
        <v>1</v>
      </c>
      <c r="H63" s="4">
        <v>14122</v>
      </c>
      <c r="I63" s="4">
        <v>5</v>
      </c>
      <c r="J63" s="4" t="s">
        <v>185</v>
      </c>
      <c r="K63" s="4">
        <v>13415.9</v>
      </c>
      <c r="L63" s="4">
        <v>8588.26</v>
      </c>
      <c r="M63" s="4">
        <v>4827.6400000000003</v>
      </c>
      <c r="N63" s="4" t="str">
        <f t="shared" si="0"/>
        <v>May</v>
      </c>
      <c r="O63" s="4">
        <f t="shared" si="1"/>
        <v>5</v>
      </c>
      <c r="P63" s="6">
        <f t="shared" si="2"/>
        <v>0.35984466193099235</v>
      </c>
    </row>
    <row r="64" spans="1:16" x14ac:dyDescent="0.25">
      <c r="A64" s="4" t="s">
        <v>75</v>
      </c>
      <c r="B64" s="5">
        <v>46164.265822784801</v>
      </c>
      <c r="C64" s="4" t="s">
        <v>154</v>
      </c>
      <c r="D64" s="4" t="s">
        <v>172</v>
      </c>
      <c r="E64" s="4" t="s">
        <v>178</v>
      </c>
      <c r="F64" s="4" t="s">
        <v>180</v>
      </c>
      <c r="G64" s="4">
        <v>3</v>
      </c>
      <c r="H64" s="4">
        <v>2927</v>
      </c>
      <c r="I64" s="4">
        <v>0</v>
      </c>
      <c r="J64" s="4" t="s">
        <v>185</v>
      </c>
      <c r="K64" s="4">
        <v>8781</v>
      </c>
      <c r="L64" s="4">
        <v>5476.22</v>
      </c>
      <c r="M64" s="4">
        <v>3304.78</v>
      </c>
      <c r="N64" s="4" t="str">
        <f t="shared" si="0"/>
        <v>May</v>
      </c>
      <c r="O64" s="4">
        <f t="shared" si="1"/>
        <v>5</v>
      </c>
      <c r="P64" s="6">
        <f t="shared" si="2"/>
        <v>0.37635576813574767</v>
      </c>
    </row>
    <row r="65" spans="1:16" x14ac:dyDescent="0.25">
      <c r="A65" s="4" t="s">
        <v>76</v>
      </c>
      <c r="B65" s="5">
        <v>46166.544303797462</v>
      </c>
      <c r="C65" s="4" t="s">
        <v>155</v>
      </c>
      <c r="D65" s="4" t="s">
        <v>174</v>
      </c>
      <c r="E65" s="4" t="s">
        <v>178</v>
      </c>
      <c r="F65" s="4" t="s">
        <v>180</v>
      </c>
      <c r="G65" s="4">
        <v>3</v>
      </c>
      <c r="H65" s="4">
        <v>1017</v>
      </c>
      <c r="I65" s="4">
        <v>15</v>
      </c>
      <c r="J65" s="4" t="s">
        <v>184</v>
      </c>
      <c r="K65" s="4">
        <v>2593.35</v>
      </c>
      <c r="L65" s="4">
        <v>1656.86</v>
      </c>
      <c r="M65" s="4">
        <v>936.49</v>
      </c>
      <c r="N65" s="4" t="str">
        <f t="shared" si="0"/>
        <v>May</v>
      </c>
      <c r="O65" s="4">
        <f t="shared" si="1"/>
        <v>5</v>
      </c>
      <c r="P65" s="6">
        <f t="shared" si="2"/>
        <v>0.36111207511519849</v>
      </c>
    </row>
    <row r="66" spans="1:16" x14ac:dyDescent="0.25">
      <c r="A66" s="4" t="s">
        <v>77</v>
      </c>
      <c r="B66" s="5">
        <v>46168.822784810123</v>
      </c>
      <c r="C66" s="4" t="s">
        <v>156</v>
      </c>
      <c r="D66" s="4" t="s">
        <v>174</v>
      </c>
      <c r="E66" s="4" t="s">
        <v>178</v>
      </c>
      <c r="F66" s="4" t="s">
        <v>182</v>
      </c>
      <c r="G66" s="4">
        <v>3</v>
      </c>
      <c r="H66" s="4">
        <v>1565</v>
      </c>
      <c r="I66" s="4">
        <v>15</v>
      </c>
      <c r="J66" s="4" t="s">
        <v>185</v>
      </c>
      <c r="K66" s="4">
        <v>3990.75</v>
      </c>
      <c r="L66" s="4">
        <v>3019.41</v>
      </c>
      <c r="M66" s="4">
        <v>971.34</v>
      </c>
      <c r="N66" s="4" t="str">
        <f t="shared" si="0"/>
        <v>May</v>
      </c>
      <c r="O66" s="4">
        <f t="shared" si="1"/>
        <v>5</v>
      </c>
      <c r="P66" s="6">
        <f t="shared" si="2"/>
        <v>0.24339785754557414</v>
      </c>
    </row>
    <row r="67" spans="1:16" x14ac:dyDescent="0.25">
      <c r="A67" s="4" t="s">
        <v>78</v>
      </c>
      <c r="B67" s="5">
        <v>46171.101265822777</v>
      </c>
      <c r="C67" s="4" t="s">
        <v>157</v>
      </c>
      <c r="D67" s="4" t="s">
        <v>171</v>
      </c>
      <c r="E67" s="4" t="s">
        <v>177</v>
      </c>
      <c r="F67" s="4" t="s">
        <v>182</v>
      </c>
      <c r="G67" s="4">
        <v>4</v>
      </c>
      <c r="H67" s="4">
        <v>14369</v>
      </c>
      <c r="I67" s="4">
        <v>5</v>
      </c>
      <c r="J67" s="4" t="s">
        <v>184</v>
      </c>
      <c r="K67" s="4">
        <v>54602.2</v>
      </c>
      <c r="L67" s="4">
        <v>34630.78</v>
      </c>
      <c r="M67" s="4">
        <v>19971.419999999998</v>
      </c>
      <c r="N67" s="4" t="str">
        <f t="shared" ref="N67:N81" si="3">TEXT(B67,"MMM")</f>
        <v>May</v>
      </c>
      <c r="O67" s="4">
        <f t="shared" ref="O67:O81" si="4">MONTH(B67)</f>
        <v>5</v>
      </c>
      <c r="P67" s="6">
        <f t="shared" ref="P67:P81" si="5">M67/K67</f>
        <v>0.36576218540644884</v>
      </c>
    </row>
    <row r="68" spans="1:16" x14ac:dyDescent="0.25">
      <c r="A68" s="4" t="s">
        <v>79</v>
      </c>
      <c r="B68" s="5">
        <v>46173.379746835439</v>
      </c>
      <c r="C68" s="4" t="s">
        <v>158</v>
      </c>
      <c r="D68" s="4" t="s">
        <v>174</v>
      </c>
      <c r="E68" s="4" t="s">
        <v>178</v>
      </c>
      <c r="F68" s="4" t="s">
        <v>181</v>
      </c>
      <c r="G68" s="4">
        <v>1</v>
      </c>
      <c r="H68" s="4">
        <f>K68/(G68*(1-I68/100))</f>
        <v>1322</v>
      </c>
      <c r="I68" s="4">
        <v>10</v>
      </c>
      <c r="J68" s="4" t="s">
        <v>186</v>
      </c>
      <c r="K68" s="4">
        <v>1189.8</v>
      </c>
      <c r="L68" s="4">
        <v>813.58</v>
      </c>
      <c r="M68" s="4">
        <v>376.22</v>
      </c>
      <c r="N68" s="4" t="str">
        <f t="shared" si="3"/>
        <v>May</v>
      </c>
      <c r="O68" s="4">
        <f t="shared" si="4"/>
        <v>5</v>
      </c>
      <c r="P68" s="6">
        <f t="shared" si="5"/>
        <v>0.31620440410152972</v>
      </c>
    </row>
    <row r="69" spans="1:16" x14ac:dyDescent="0.25">
      <c r="A69" s="4" t="s">
        <v>80</v>
      </c>
      <c r="B69" s="5">
        <v>46175.658227848093</v>
      </c>
      <c r="C69" s="4" t="s">
        <v>159</v>
      </c>
      <c r="D69" s="4" t="s">
        <v>174</v>
      </c>
      <c r="E69" s="4" t="s">
        <v>178</v>
      </c>
      <c r="F69" s="4" t="s">
        <v>179</v>
      </c>
      <c r="G69" s="4">
        <v>4</v>
      </c>
      <c r="H69" s="4">
        <v>1685</v>
      </c>
      <c r="I69" s="4">
        <v>10</v>
      </c>
      <c r="J69" s="4" t="s">
        <v>184</v>
      </c>
      <c r="K69" s="4">
        <v>6066</v>
      </c>
      <c r="L69" s="4">
        <v>4785.92</v>
      </c>
      <c r="M69" s="4">
        <v>1280.08</v>
      </c>
      <c r="N69" s="4" t="str">
        <f t="shared" si="3"/>
        <v>Jun</v>
      </c>
      <c r="O69" s="4">
        <f t="shared" si="4"/>
        <v>6</v>
      </c>
      <c r="P69" s="6">
        <f t="shared" si="5"/>
        <v>0.21102538740520935</v>
      </c>
    </row>
    <row r="70" spans="1:16" x14ac:dyDescent="0.25">
      <c r="A70" s="4" t="s">
        <v>81</v>
      </c>
      <c r="B70" s="5">
        <v>46177.936708860747</v>
      </c>
      <c r="C70" s="4" t="s">
        <v>160</v>
      </c>
      <c r="D70" s="4" t="s">
        <v>171</v>
      </c>
      <c r="E70" s="4" t="s">
        <v>177</v>
      </c>
      <c r="F70" s="4" t="s">
        <v>180</v>
      </c>
      <c r="G70" s="4">
        <v>3</v>
      </c>
      <c r="H70" s="4">
        <v>14425</v>
      </c>
      <c r="I70" s="4">
        <v>10</v>
      </c>
      <c r="J70" s="4" t="s">
        <v>186</v>
      </c>
      <c r="K70" s="4">
        <v>38947.5</v>
      </c>
      <c r="L70" s="4">
        <v>24328.73</v>
      </c>
      <c r="M70" s="4">
        <v>14618.77</v>
      </c>
      <c r="N70" s="4" t="str">
        <f t="shared" si="3"/>
        <v>Jun</v>
      </c>
      <c r="O70" s="4">
        <f t="shared" si="4"/>
        <v>6</v>
      </c>
      <c r="P70" s="6">
        <f t="shared" si="5"/>
        <v>0.3753455292380769</v>
      </c>
    </row>
    <row r="71" spans="1:16" x14ac:dyDescent="0.25">
      <c r="A71" s="4" t="s">
        <v>82</v>
      </c>
      <c r="B71" s="5">
        <v>46180.215189873423</v>
      </c>
      <c r="C71" s="4" t="s">
        <v>161</v>
      </c>
      <c r="D71" s="4" t="s">
        <v>171</v>
      </c>
      <c r="E71" s="4" t="s">
        <v>177</v>
      </c>
      <c r="F71" s="4" t="s">
        <v>180</v>
      </c>
      <c r="G71" s="4">
        <v>1</v>
      </c>
      <c r="H71" s="4">
        <v>14087</v>
      </c>
      <c r="I71" s="4">
        <v>15</v>
      </c>
      <c r="J71" s="4" t="s">
        <v>185</v>
      </c>
      <c r="K71" s="4">
        <v>11973.95</v>
      </c>
      <c r="L71" s="4">
        <v>9374.33</v>
      </c>
      <c r="M71" s="4">
        <v>2599.62</v>
      </c>
      <c r="N71" s="4" t="str">
        <f t="shared" si="3"/>
        <v>Jun</v>
      </c>
      <c r="O71" s="4">
        <f t="shared" si="4"/>
        <v>6</v>
      </c>
      <c r="P71" s="6">
        <f t="shared" si="5"/>
        <v>0.21710630159638211</v>
      </c>
    </row>
    <row r="72" spans="1:16" x14ac:dyDescent="0.25">
      <c r="A72" s="4" t="s">
        <v>83</v>
      </c>
      <c r="B72" s="5">
        <v>46182.493670886062</v>
      </c>
      <c r="C72" s="4" t="s">
        <v>103</v>
      </c>
      <c r="D72" s="4" t="s">
        <v>175</v>
      </c>
      <c r="E72" s="4" t="s">
        <v>177</v>
      </c>
      <c r="F72" s="4" t="s">
        <v>181</v>
      </c>
      <c r="G72" s="4">
        <v>4</v>
      </c>
      <c r="H72" s="4">
        <v>55462</v>
      </c>
      <c r="I72" s="4">
        <v>15</v>
      </c>
      <c r="J72" s="4" t="s">
        <v>185</v>
      </c>
      <c r="K72" s="4">
        <v>188570.8</v>
      </c>
      <c r="L72" s="4">
        <v>127543.81</v>
      </c>
      <c r="M72" s="4">
        <v>61026.99</v>
      </c>
      <c r="N72" s="4" t="str">
        <f t="shared" si="3"/>
        <v>Jun</v>
      </c>
      <c r="O72" s="4">
        <f t="shared" si="4"/>
        <v>6</v>
      </c>
      <c r="P72" s="6">
        <f t="shared" si="5"/>
        <v>0.32362905603624742</v>
      </c>
    </row>
    <row r="73" spans="1:16" x14ac:dyDescent="0.25">
      <c r="A73" s="4" t="s">
        <v>84</v>
      </c>
      <c r="B73" s="5">
        <v>46184.772151898716</v>
      </c>
      <c r="C73" s="4" t="s">
        <v>162</v>
      </c>
      <c r="D73" s="4" t="s">
        <v>172</v>
      </c>
      <c r="E73" s="4" t="s">
        <v>178</v>
      </c>
      <c r="F73" s="4" t="s">
        <v>180</v>
      </c>
      <c r="G73" s="4">
        <v>4</v>
      </c>
      <c r="H73" s="4">
        <v>3438</v>
      </c>
      <c r="I73" s="4">
        <v>15</v>
      </c>
      <c r="J73" s="4" t="s">
        <v>186</v>
      </c>
      <c r="K73" s="4">
        <v>11689.2</v>
      </c>
      <c r="L73" s="4">
        <v>7523.55</v>
      </c>
      <c r="M73" s="4">
        <v>4165.6499999999996</v>
      </c>
      <c r="N73" s="4" t="str">
        <f t="shared" si="3"/>
        <v>Jun</v>
      </c>
      <c r="O73" s="4">
        <f t="shared" si="4"/>
        <v>6</v>
      </c>
      <c r="P73" s="6">
        <f t="shared" si="5"/>
        <v>0.35636741607637812</v>
      </c>
    </row>
    <row r="74" spans="1:16" x14ac:dyDescent="0.25">
      <c r="A74" s="4" t="s">
        <v>85</v>
      </c>
      <c r="B74" s="5">
        <v>46187.050632911392</v>
      </c>
      <c r="C74" s="4" t="s">
        <v>163</v>
      </c>
      <c r="D74" s="4" t="s">
        <v>172</v>
      </c>
      <c r="E74" s="4" t="s">
        <v>178</v>
      </c>
      <c r="F74" s="4" t="s">
        <v>179</v>
      </c>
      <c r="G74" s="4">
        <v>3</v>
      </c>
      <c r="H74" s="4">
        <v>2954</v>
      </c>
      <c r="I74" s="4">
        <v>0</v>
      </c>
      <c r="J74" s="4" t="s">
        <v>183</v>
      </c>
      <c r="K74" s="4">
        <v>8862</v>
      </c>
      <c r="L74" s="4">
        <v>6729.34</v>
      </c>
      <c r="M74" s="4">
        <v>2132.66</v>
      </c>
      <c r="N74" s="4" t="str">
        <f t="shared" si="3"/>
        <v>Jun</v>
      </c>
      <c r="O74" s="4">
        <f t="shared" si="4"/>
        <v>6</v>
      </c>
      <c r="P74" s="6">
        <f t="shared" si="5"/>
        <v>0.24065222297449784</v>
      </c>
    </row>
    <row r="75" spans="1:16" x14ac:dyDescent="0.25">
      <c r="A75" s="4" t="s">
        <v>86</v>
      </c>
      <c r="B75" s="5">
        <v>46189.329113924039</v>
      </c>
      <c r="C75" s="4" t="s">
        <v>164</v>
      </c>
      <c r="D75" s="4" t="s">
        <v>174</v>
      </c>
      <c r="E75" s="4" t="s">
        <v>178</v>
      </c>
      <c r="F75" s="4" t="s">
        <v>181</v>
      </c>
      <c r="G75" s="4">
        <v>1</v>
      </c>
      <c r="H75" s="4">
        <v>1489</v>
      </c>
      <c r="I75" s="4">
        <v>5</v>
      </c>
      <c r="J75" s="4" t="s">
        <v>186</v>
      </c>
      <c r="K75" s="4">
        <v>1414.55</v>
      </c>
      <c r="L75" s="4">
        <v>1054.96</v>
      </c>
      <c r="M75" s="4">
        <v>359.59</v>
      </c>
      <c r="N75" s="4" t="str">
        <f t="shared" si="3"/>
        <v>Jun</v>
      </c>
      <c r="O75" s="4">
        <f t="shared" si="4"/>
        <v>6</v>
      </c>
      <c r="P75" s="6">
        <f t="shared" si="5"/>
        <v>0.25420805203068114</v>
      </c>
    </row>
    <row r="76" spans="1:16" x14ac:dyDescent="0.25">
      <c r="A76" s="4" t="s">
        <v>87</v>
      </c>
      <c r="B76" s="5">
        <v>46191.6075949367</v>
      </c>
      <c r="C76" s="4" t="s">
        <v>165</v>
      </c>
      <c r="D76" s="4" t="s">
        <v>172</v>
      </c>
      <c r="E76" s="4" t="s">
        <v>178</v>
      </c>
      <c r="F76" s="4" t="s">
        <v>179</v>
      </c>
      <c r="G76" s="4">
        <v>3</v>
      </c>
      <c r="H76" s="4">
        <v>3185</v>
      </c>
      <c r="I76" s="4">
        <v>15</v>
      </c>
      <c r="J76" s="4" t="s">
        <v>183</v>
      </c>
      <c r="K76" s="4">
        <v>8121.75</v>
      </c>
      <c r="L76" s="4">
        <v>6460.81</v>
      </c>
      <c r="M76" s="4">
        <v>1660.94</v>
      </c>
      <c r="N76" s="4" t="str">
        <f t="shared" si="3"/>
        <v>Jun</v>
      </c>
      <c r="O76" s="4">
        <f t="shared" si="4"/>
        <v>6</v>
      </c>
      <c r="P76" s="6">
        <f t="shared" si="5"/>
        <v>0.20450518669006065</v>
      </c>
    </row>
    <row r="77" spans="1:16" x14ac:dyDescent="0.25">
      <c r="A77" s="4" t="s">
        <v>88</v>
      </c>
      <c r="B77" s="5">
        <v>46193.886075949362</v>
      </c>
      <c r="C77" s="4" t="s">
        <v>166</v>
      </c>
      <c r="D77" s="4" t="s">
        <v>174</v>
      </c>
      <c r="E77" s="4" t="s">
        <v>178</v>
      </c>
      <c r="F77" s="4" t="s">
        <v>181</v>
      </c>
      <c r="G77" s="4">
        <v>1</v>
      </c>
      <c r="H77" s="4">
        <v>1103</v>
      </c>
      <c r="I77" s="4">
        <v>5</v>
      </c>
      <c r="J77" s="4" t="s">
        <v>184</v>
      </c>
      <c r="K77" s="4">
        <v>1047.8499999999999</v>
      </c>
      <c r="L77" s="4">
        <v>803.72</v>
      </c>
      <c r="M77" s="4">
        <v>244.13</v>
      </c>
      <c r="N77" s="4" t="str">
        <f t="shared" si="3"/>
        <v>Jun</v>
      </c>
      <c r="O77" s="4">
        <f t="shared" si="4"/>
        <v>6</v>
      </c>
      <c r="P77" s="6">
        <f t="shared" si="5"/>
        <v>0.23298181991697287</v>
      </c>
    </row>
    <row r="78" spans="1:16" x14ac:dyDescent="0.25">
      <c r="A78" s="4" t="s">
        <v>89</v>
      </c>
      <c r="B78" s="5">
        <v>46196.164556962023</v>
      </c>
      <c r="C78" s="4" t="s">
        <v>167</v>
      </c>
      <c r="D78" s="4" t="s">
        <v>175</v>
      </c>
      <c r="E78" s="4" t="s">
        <v>177</v>
      </c>
      <c r="F78" s="4" t="s">
        <v>181</v>
      </c>
      <c r="G78" s="4">
        <v>5</v>
      </c>
      <c r="H78" s="4">
        <v>55192</v>
      </c>
      <c r="I78" s="4">
        <v>5</v>
      </c>
      <c r="J78" s="4" t="s">
        <v>184</v>
      </c>
      <c r="K78" s="4">
        <v>262162</v>
      </c>
      <c r="L78" s="4">
        <v>204668.87</v>
      </c>
      <c r="M78" s="4">
        <v>57493.13</v>
      </c>
      <c r="N78" s="4" t="str">
        <f t="shared" si="3"/>
        <v>Jun</v>
      </c>
      <c r="O78" s="4">
        <f t="shared" si="4"/>
        <v>6</v>
      </c>
      <c r="P78" s="6">
        <f t="shared" si="5"/>
        <v>0.2193038274044293</v>
      </c>
    </row>
    <row r="79" spans="1:16" x14ac:dyDescent="0.25">
      <c r="A79" s="4" t="s">
        <v>90</v>
      </c>
      <c r="B79" s="5">
        <v>46198.443037974677</v>
      </c>
      <c r="C79" s="4" t="s">
        <v>168</v>
      </c>
      <c r="D79" s="4" t="s">
        <v>171</v>
      </c>
      <c r="E79" s="4" t="s">
        <v>177</v>
      </c>
      <c r="F79" s="4" t="s">
        <v>182</v>
      </c>
      <c r="G79" s="4">
        <v>2</v>
      </c>
      <c r="H79" s="4">
        <v>14045</v>
      </c>
      <c r="I79" s="4">
        <v>10</v>
      </c>
      <c r="J79" s="4" t="s">
        <v>184</v>
      </c>
      <c r="K79" s="4">
        <v>25281</v>
      </c>
      <c r="L79" s="4">
        <v>17100.240000000002</v>
      </c>
      <c r="M79" s="4">
        <v>8180.76</v>
      </c>
      <c r="N79" s="4" t="str">
        <f t="shared" si="3"/>
        <v>Jun</v>
      </c>
      <c r="O79" s="4">
        <f t="shared" si="4"/>
        <v>6</v>
      </c>
      <c r="P79" s="6">
        <f t="shared" si="5"/>
        <v>0.32359321229381749</v>
      </c>
    </row>
    <row r="80" spans="1:16" x14ac:dyDescent="0.25">
      <c r="A80" s="4" t="s">
        <v>91</v>
      </c>
      <c r="B80" s="5">
        <v>46200.721518987339</v>
      </c>
      <c r="C80" s="4" t="s">
        <v>169</v>
      </c>
      <c r="D80" s="4" t="s">
        <v>171</v>
      </c>
      <c r="E80" s="4" t="s">
        <v>177</v>
      </c>
      <c r="F80" s="4" t="s">
        <v>179</v>
      </c>
      <c r="G80" s="4">
        <v>2</v>
      </c>
      <c r="H80" s="4">
        <v>13975</v>
      </c>
      <c r="I80" s="4">
        <v>0</v>
      </c>
      <c r="J80" s="4" t="s">
        <v>185</v>
      </c>
      <c r="K80" s="4">
        <v>27950</v>
      </c>
      <c r="L80" s="4">
        <v>18320.89</v>
      </c>
      <c r="M80" s="4">
        <v>9629.11</v>
      </c>
      <c r="N80" s="4" t="str">
        <f t="shared" si="3"/>
        <v>Jun</v>
      </c>
      <c r="O80" s="4">
        <f t="shared" si="4"/>
        <v>6</v>
      </c>
      <c r="P80" s="6">
        <f t="shared" si="5"/>
        <v>0.34451198568872987</v>
      </c>
    </row>
    <row r="81" spans="1:16" x14ac:dyDescent="0.25">
      <c r="A81" s="4" t="s">
        <v>92</v>
      </c>
      <c r="B81" s="5">
        <v>46203</v>
      </c>
      <c r="C81" s="4" t="s">
        <v>170</v>
      </c>
      <c r="D81" s="4" t="s">
        <v>171</v>
      </c>
      <c r="E81" s="4" t="s">
        <v>177</v>
      </c>
      <c r="F81" s="4" t="s">
        <v>180</v>
      </c>
      <c r="G81" s="4">
        <v>2</v>
      </c>
      <c r="H81" s="4">
        <v>13838</v>
      </c>
      <c r="I81" s="4">
        <v>15</v>
      </c>
      <c r="J81" s="4" t="s">
        <v>184</v>
      </c>
      <c r="K81" s="4">
        <v>23524.6</v>
      </c>
      <c r="L81" s="4">
        <v>18116.830000000002</v>
      </c>
      <c r="M81" s="4">
        <v>5407.77</v>
      </c>
      <c r="N81" s="4" t="str">
        <f t="shared" si="3"/>
        <v>Jun</v>
      </c>
      <c r="O81" s="4">
        <f t="shared" si="4"/>
        <v>6</v>
      </c>
      <c r="P81" s="6">
        <f t="shared" si="5"/>
        <v>0.22987723489453596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2026-09-18T00:21:58Z</dcterms:created>
  <dcterms:modified xsi:type="dcterms:W3CDTF">2026-09-23T04:30:58Z</dcterms:modified>
</cp:coreProperties>
</file>